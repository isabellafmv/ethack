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linapopov/Library/Mobile Documents/com~apple~CloudDocs/ethack/ethack/"/>
    </mc:Choice>
  </mc:AlternateContent>
  <xr:revisionPtr revIDLastSave="0" documentId="13_ncr:1_{8050CF10-BFDD-8045-A827-00F2A576A801}" xr6:coauthVersionLast="47" xr6:coauthVersionMax="47" xr10:uidLastSave="{00000000-0000-0000-0000-000000000000}"/>
  <bookViews>
    <workbookView xWindow="0" yWindow="660" windowWidth="30240" windowHeight="18980" tabRatio="500" activeTab="2" xr2:uid="{00000000-000D-0000-FFFF-FFFF00000000}"/>
  </bookViews>
  <sheets>
    <sheet name="README" sheetId="1" r:id="rId1"/>
    <sheet name="Data Sources" sheetId="2" r:id="rId2"/>
    <sheet name="Pillar Mapping" sheetId="3" r:id="rId3"/>
    <sheet name="Coverage Summary" sheetId="4" r:id="rId4"/>
    <sheet name="Access Cheatsheet" sheetId="5" r:id="rId5"/>
  </sheets>
  <definedNames>
    <definedName name="_xlnm._FilterDatabase" localSheetId="1" hidden="1">'Data Sources'!$A$1:$T$30</definedName>
    <definedName name="_xlnm._FilterDatabase" localSheetId="2" hidden="1">'Pillar Mapping'!$A$1:$I$16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4" l="1"/>
  <c r="B41" i="4"/>
  <c r="B40" i="4"/>
  <c r="B39" i="4"/>
  <c r="B38" i="4"/>
  <c r="B37" i="4"/>
  <c r="C33" i="4"/>
  <c r="D33" i="4" s="1"/>
  <c r="B33" i="4"/>
  <c r="C32" i="4"/>
  <c r="D32" i="4" s="1"/>
  <c r="B32" i="4"/>
  <c r="C31" i="4"/>
  <c r="D31" i="4" s="1"/>
  <c r="B31" i="4"/>
  <c r="C26" i="4"/>
  <c r="D26" i="4" s="1"/>
  <c r="B26" i="4"/>
  <c r="C25" i="4"/>
  <c r="D25" i="4" s="1"/>
  <c r="B25" i="4"/>
  <c r="C24" i="4"/>
  <c r="D24" i="4" s="1"/>
  <c r="B24" i="4"/>
  <c r="C23" i="4"/>
  <c r="D23" i="4" s="1"/>
  <c r="B23" i="4"/>
  <c r="C22" i="4"/>
  <c r="D22" i="4" s="1"/>
  <c r="B22" i="4"/>
  <c r="C21" i="4"/>
  <c r="D21" i="4" s="1"/>
  <c r="B21" i="4"/>
  <c r="C16" i="4"/>
  <c r="D16" i="4" s="1"/>
  <c r="B16" i="4"/>
  <c r="C15" i="4"/>
  <c r="D15" i="4" s="1"/>
  <c r="B15" i="4"/>
  <c r="C14" i="4"/>
  <c r="D14" i="4" s="1"/>
  <c r="B14" i="4"/>
  <c r="C13" i="4"/>
  <c r="D13" i="4" s="1"/>
  <c r="B13" i="4"/>
  <c r="C8" i="4"/>
  <c r="D8" i="4" s="1"/>
  <c r="B8" i="4"/>
  <c r="C7" i="4"/>
  <c r="D7" i="4" s="1"/>
  <c r="B7" i="4"/>
  <c r="C6" i="4"/>
  <c r="D6" i="4" s="1"/>
  <c r="B6" i="4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0" authorId="0" shapeId="0" xr:uid="{00000000-0006-0000-0100-000001000000}">
      <text>
        <r>
          <rPr>
            <sz val="10"/>
            <rFont val="Arial"/>
            <family val="2"/>
          </rPr>
          <t>Anchor figure: 130 S&amp;P 500 companies had SBTi-validated targets at end-2022, plus 82 committed = 42% total coverage. Source: SBTi Monitoring Report 2022. The 275 here extrapolates growth to 2026 and is an ESTIMATE — download the current CSV and count.</t>
        </r>
      </text>
    </comment>
    <comment ref="I16" authorId="0" shapeId="0" xr:uid="{00000000-0006-0000-0100-000002000000}">
      <text>
        <r>
          <rPr>
            <sz val="10"/>
            <rFont val="Arial"/>
            <family val="2"/>
          </rPr>
          <t>Verified: 69 S&amp;P 500 constituents matched in GHGRP using EPA parent-company data, representing 82% of the index's reported Scope 1 emissions. Source: activestewardship.org analysis, Jan 2024. Better subsidiary resolution (Exhibit 21 + GLEIF) may raise this to ~100-150 — verify yourself.</t>
        </r>
      </text>
    </comment>
  </commentList>
</comments>
</file>

<file path=xl/sharedStrings.xml><?xml version="1.0" encoding="utf-8"?>
<sst xmlns="http://schemas.openxmlformats.org/spreadsheetml/2006/main" count="812" uniqueCount="532">
  <si>
    <t>S&amp;P 500 Sustainability Framework — Data Source Register</t>
  </si>
  <si>
    <t>Built 2026-09-12. Merged pillar taxonomy: original ESG reading + corporate-resilience reading (10-K hitwords).</t>
  </si>
  <si>
    <t>MERGED PILLAR TAXONOMY</t>
  </si>
  <si>
    <t>The two framings in the plan doc were not the same three pillars. They are merged here as follows:</t>
  </si>
  <si>
    <t>P1  Environmental &amp; Resource Efficiency</t>
  </si>
  <si>
    <t xml:space="preserve">     = original 'Environmental'  +  corporate 'Resource &amp; Operational Efficiency'.</t>
  </si>
  <si>
    <t xml:space="preserve">     Physical footprint AND how efficiently inputs are converted to output. Both are backward-looking, measured.</t>
  </si>
  <si>
    <t>P2  Transition &amp; Structural Risk</t>
  </si>
  <si>
    <t xml:space="preserve">     = original 'Transition'  +  corporate 'Structural / Disruption Risk'.</t>
  </si>
  <si>
    <t xml:space="preserve">     Forward-looking exposure. Carbon price is one shock among several (tariffs, obsolescence, concentration).</t>
  </si>
  <si>
    <t>P3  Governance &amp; Capital Stewardship</t>
  </si>
  <si>
    <t xml:space="preserve">     = original 'Governance'  +  corporate 'Governance &amp; Capital Stewardship'.</t>
  </si>
  <si>
    <t xml:space="preserve">     Who decides, how they are paid, where the capital actually goes, and what they have been penalised for.</t>
  </si>
  <si>
    <t>X   Cross-cutting</t>
  </si>
  <si>
    <t xml:space="preserve">     Entity resolution and data-confidence scoring. Not scored, but every pillar depends on it.</t>
  </si>
  <si>
    <t>SHEETS</t>
  </si>
  <si>
    <t>Data Sources      One row per database. What it is, what you get, how to pull it, coverage, effort, priority.</t>
  </si>
  <si>
    <t>Pillar Mapping    One row per indicator. Which source feeds it, which is the fallback, how it is computed.</t>
  </si>
  <si>
    <t>Coverage Summary  Formula-driven counts by tier, pillar and priority. Updates if you edit the Data Sources sheet.</t>
  </si>
  <si>
    <t>Access Cheatsheet Endpoints, libraries, auth, rate limits, known gotchas. Copy-paste layer.</t>
  </si>
  <si>
    <t>HOW TO READ THE COVERAGE COLUMN</t>
  </si>
  <si>
    <t>Coverage = how many of the 500 constituents this source can say something about.</t>
  </si>
  <si>
    <t>Two values are verified against published sources (see cell comments on the Data Sources sheet):</t>
  </si>
  <si>
    <t xml:space="preserve">   GHGRP: 69 constituents matched using EPA parent-company data (activestewardship.org analysis, 2024).</t>
  </si>
  <si>
    <t xml:space="preserve">   SBTi: 130 S&amp;P 500 companies with validated targets + 82 committed = 42% coverage at end-2022 (SBTi Monitoring Report 2022).</t>
  </si>
  <si>
    <t>EVERY OTHER COVERAGE NUMBER IS AN ESTIMATE, marked 'Estimated' in the Confidence column and shown in blue.</t>
  </si>
  <si>
    <t>Verify the ones you depend on before locking scope: download the source, join to the ticker list, count. ~2 hours.</t>
  </si>
  <si>
    <t>THE COVERAGE POINT THAT SHOULD DRIVE DESIGN</t>
  </si>
  <si>
    <t>Missing data is not random — it is sectoral. Every facility-based source (GHGRP, TRI, ECHO, eGRID, EIA) is</t>
  </si>
  <si>
    <t>structurally empty for financials, software, healthcare services and most consumer names. That is over half</t>
  </si>
  <si>
    <t>the index by count. Only SEC-derived sources are complete.</t>
  </si>
  <si>
    <t>Two consequences:</t>
  </si>
  <si>
    <t xml:space="preserve">  1. SASB materiality weighting and data availability track each other, because both follow physical reality.</t>
  </si>
  <si>
    <t xml:space="preserve">     Say this out loud in the pitch — it turns a data gap into a methodological argument.</t>
  </si>
  <si>
    <t xml:space="preserve">  2. Governance is the only pillar that can be near-complete (DEF 14A is universal). Environmental is the</t>
  </si>
  <si>
    <t xml:space="preserve">     thinnest but most credible. Build the headline say-do demo on the ~70 GHGRP-matched names; build the</t>
  </si>
  <si>
    <t xml:space="preserve">     full-500 view on XBRL + proxies + self-reported emissions.</t>
  </si>
  <si>
    <t>LEGEND</t>
  </si>
  <si>
    <t>Blue text      = estimated / assumption, change it when you have a real number</t>
  </si>
  <si>
    <t>Green rows     = Tier 1, near-universal coverage</t>
  </si>
  <si>
    <t>Yellow rows    = Tier 2, broad but partial</t>
  </si>
  <si>
    <t>Orange rows    = Tier 3, structurally narrow (heavy industry only)</t>
  </si>
  <si>
    <t>ID</t>
  </si>
  <si>
    <t>Source</t>
  </si>
  <si>
    <t>Owner</t>
  </si>
  <si>
    <t>What it is</t>
  </si>
  <si>
    <t>What you get from it</t>
  </si>
  <si>
    <t>Pillar</t>
  </si>
  <si>
    <t>2nd pillar</t>
  </si>
  <si>
    <t>Feeds indicators</t>
  </si>
  <si>
    <t>Est. coverage (of 500)</t>
  </si>
  <si>
    <t>Coverage %</t>
  </si>
  <si>
    <t>Tier</t>
  </si>
  <si>
    <t>Confidence</t>
  </si>
  <si>
    <t>Access method</t>
  </si>
  <si>
    <t>Python / package</t>
  </si>
  <si>
    <t>Endpoint or download URL</t>
  </si>
  <si>
    <t>Auth</t>
  </si>
  <si>
    <t>Format</t>
  </si>
  <si>
    <t>Gotchas &amp; rate limits</t>
  </si>
  <si>
    <t>Effort</t>
  </si>
  <si>
    <t>Priority</t>
  </si>
  <si>
    <t>S01</t>
  </si>
  <si>
    <t>SEC EDGAR — XBRL company facts</t>
  </si>
  <si>
    <t>SEC</t>
  </si>
  <si>
    <t>Structured financial-statement data tagged in every filing.</t>
  </si>
  <si>
    <t>Revenue, EBIT, EBITDA inputs, FCF components, capex, R&amp;D, buybacks, dividends, total assets.</t>
  </si>
  <si>
    <t>P1/P2/P3</t>
  </si>
  <si>
    <t>—</t>
  </si>
  <si>
    <t>Carbon intensity denominator; carbon-price exposure; affordability; capital stewardship</t>
  </si>
  <si>
    <t>1 - Universal</t>
  </si>
  <si>
    <t>Verified (structural)</t>
  </si>
  <si>
    <t>REST JSON API</t>
  </si>
  <si>
    <t>requests, pandas, edgartools</t>
  </si>
  <si>
    <t>https://data.sec.gov/api/xbrl/companyfacts/CIK##########.json</t>
  </si>
  <si>
    <t>None (UA required)</t>
  </si>
  <si>
    <t>JSON</t>
  </si>
  <si>
    <t>User-Agent MUST contain a real contact address or you are blocked. Max 10 req/s. Revenue splits across 4+ tags — write the fallback chain (RevenueFromContractWithCustomerExcludingAssessedTax, Revenues, SalesRevenueNet, RevenueFromContractWithCustomerIncludingAssessedTax).</t>
  </si>
  <si>
    <t>Low</t>
  </si>
  <si>
    <t>MUST</t>
  </si>
  <si>
    <t>S02</t>
  </si>
  <si>
    <t>SEC EDGAR — 10-K full text</t>
  </si>
  <si>
    <t>The annual report itself. Item 1A risk factors, Item 7 MD&amp;A.</t>
  </si>
  <si>
    <t>Risk-factor language, climate/transition discussion, green capex mentions, segment narrative, hitword counts.</t>
  </si>
  <si>
    <t>P1/P2</t>
  </si>
  <si>
    <t>P3</t>
  </si>
  <si>
    <t>Green revenue share; clean capex; structural risk hitwords; emissions targets</t>
  </si>
  <si>
    <t>Bulk download + parse</t>
  </si>
  <si>
    <t>sec-edgar-downloader, edgartools, BeautifulSoup</t>
  </si>
  <si>
    <t>https://www.sec.gov/cgi-bin/browse-edgar  /  https://data.sec.gov/submissions/CIK##########.json</t>
  </si>
  <si>
    <t>HTML / iXBRL</t>
  </si>
  <si>
    <t>75k-200k tokens per filing — DO NOT send whole filings to an agent. Strip HTML, locate the section by heading, keep +/-2-3k chars around keyword hits, send 5-15k tokens. ~15x cheaper and more accurate. Cache every filing on first fetch.</t>
  </si>
  <si>
    <t>Med</t>
  </si>
  <si>
    <t>S03</t>
  </si>
  <si>
    <t>SEC EDGAR full-text search</t>
  </si>
  <si>
    <t>Keyword search across all filings without downloading them.</t>
  </si>
  <si>
    <t>Hit counts and filing locations for any phrase, filterable by form type and date.</t>
  </si>
  <si>
    <t>P2</t>
  </si>
  <si>
    <t>Structural risk hitwords; climate language prevalence</t>
  </si>
  <si>
    <t>Undocumented JSON endpoint</t>
  </si>
  <si>
    <t>requests</t>
  </si>
  <si>
    <t>https://efts.sec.gov/LATEST/search-index?q=%22phrase%22&amp;forms=10-K  (JSON behind sec.gov/edgar/search)</t>
  </si>
  <si>
    <t>Undocumented — confirm the endpoint shape by opening sec.gov/edgar/search in devtools before relying on it. Only covers 2001+. Gives hit counts, not context: you still need S02 for the surrounding sentence.</t>
  </si>
  <si>
    <t>SHOULD</t>
  </si>
  <si>
    <t>S04</t>
  </si>
  <si>
    <t>SEC EDGAR — DEF 14A proxy statements</t>
  </si>
  <si>
    <t>Annual proxy. Governance and compensation disclosure.</t>
  </si>
  <si>
    <t>Board independence, committee structure, climate-oversight committee, ESG-linked pay, PSU/clawback terms, say-on-pay.</t>
  </si>
  <si>
    <t>Climate governance booleans; comp alignment; board independence</t>
  </si>
  <si>
    <t>Estimated</t>
  </si>
  <si>
    <t>sec-edgar-downloader, edgartools</t>
  </si>
  <si>
    <t>Same as S02, form type DEF 14A</t>
  </si>
  <si>
    <t>HTML</t>
  </si>
  <si>
    <t>Prose-heavy and inconsistently structured. Extract BOOLEANS with verbatim quotes, not graded scores — graded scores over prose is where hallucination lives. This is your only near-complete pillar, so it deserves the best extraction.</t>
  </si>
  <si>
    <t>S05</t>
  </si>
  <si>
    <t>SEC Exhibit 21 — subsidiary lists</t>
  </si>
  <si>
    <t>Company's own declared list of subsidiaries, filed with the 10-K.</t>
  </si>
  <si>
    <t>Subsidiary legal names + jurisdiction, per parent. Ground truth for rolling facility data up to the listed entity.</t>
  </si>
  <si>
    <t>X</t>
  </si>
  <si>
    <t>P1</t>
  </si>
  <si>
    <t>Entity resolution (prerequisite for every facility-based source)</t>
  </si>
  <si>
    <t>Parse from 10-K exhibits</t>
  </si>
  <si>
    <t>sec-edgar-downloader, rapidfuzz</t>
  </si>
  <si>
    <t>Filed as EX-21 alongside the 10-K (see S02)</t>
  </si>
  <si>
    <t>HTML / text</t>
  </si>
  <si>
    <t>Companies may omit subsidiaries deemed immaterial, so a short list does NOT mean a simple company. Format is wildly inconsistent (tables, lists, paragraphs). No ownership percentages — get those from S15.</t>
  </si>
  <si>
    <t>S06</t>
  </si>
  <si>
    <t>GLEIF — LEI Level 1 &amp; 2</t>
  </si>
  <si>
    <t>GLEIF</t>
  </si>
  <si>
    <t>Global legal entity identifier registry with declared parent relationships.</t>
  </si>
  <si>
    <t>Legal entity names, addresses, direct parent and ultimate parent LEIs. Machine-readable corporate structure.</t>
  </si>
  <si>
    <t>Entity resolution (second opinion on Exhibit 21)</t>
  </si>
  <si>
    <t>REST API + bulk file</t>
  </si>
  <si>
    <t>requests, pandas</t>
  </si>
  <si>
    <t>https://api.gleif.org/api/v1/lei-records</t>
  </si>
  <si>
    <t>None</t>
  </si>
  <si>
    <t>JSON / CSV</t>
  </si>
  <si>
    <t>Level 2 parent data is self-declared and companies can claim exemptions, so child-to-parent links are patchier than the entity records themselves. Use ALONGSIDE Exhibit 21, not instead of it.</t>
  </si>
  <si>
    <t>S07</t>
  </si>
  <si>
    <t>Market data (prices, market cap)</t>
  </si>
  <si>
    <t>Yahoo / other</t>
  </si>
  <si>
    <t>Price and share-count feed for the constituent list.</t>
  </si>
  <si>
    <t>Market cap (bubble size on the 3D map), sector/industry labels, price history for the portfolio work.</t>
  </si>
  <si>
    <t>Visual encoding; bonus-question portfolio construction</t>
  </si>
  <si>
    <t>Python library</t>
  </si>
  <si>
    <t>yfinance</t>
  </si>
  <si>
    <t>https://pypi.org/project/yfinance/</t>
  </si>
  <si>
    <t>DataFrame</t>
  </si>
  <si>
    <t>Unofficial and rate-limited; it breaks periodically. Cache to disk on first pull. The sustainability/ESG field is thin and vendor-sourced — fine as a fallback controversy flag, NOT as a primary indicator.</t>
  </si>
  <si>
    <t>S08</t>
  </si>
  <si>
    <t>S&amp;P 500 constituent list</t>
  </si>
  <si>
    <t>Wikipedia / datahub</t>
  </si>
  <si>
    <t>The index membership itself, with tickers, CIK and GICS sector.</t>
  </si>
  <si>
    <t>Ticker, company name, CIK (the join key to everything SEC), GICS sector and sub-industry.</t>
  </si>
  <si>
    <t>Universe definition; sector normalisation buckets</t>
  </si>
  <si>
    <t>HTML table scrape</t>
  </si>
  <si>
    <t>pandas.read_html</t>
  </si>
  <si>
    <t>https://en.wikipedia.org/wiki/List_of_S%26P_500_companies</t>
  </si>
  <si>
    <t>HTML table</t>
  </si>
  <si>
    <t>Includes CIK directly, which saves a lookup step. Freeze the list at one date and commit it to the repo — membership changes mid-build will silently break joins. Note ~503 tickers for 500 companies (dual share classes).</t>
  </si>
  <si>
    <t>S09</t>
  </si>
  <si>
    <t>SBTi target list</t>
  </si>
  <si>
    <t>Science Based Targets initiative</t>
  </si>
  <si>
    <t>Public register of validated emission-reduction targets.</t>
  </si>
  <si>
    <t>Target type (near-term / net-zero), target year, baseline year, ambition, validation date, sector.</t>
  </si>
  <si>
    <t>Regulatory momentum; affordability numerator; target credibility</t>
  </si>
  <si>
    <t>2 - Broad</t>
  </si>
  <si>
    <t>Verified (2022 figure)</t>
  </si>
  <si>
    <t>CSV download</t>
  </si>
  <si>
    <t>pandas</t>
  </si>
  <si>
    <t>https://sciencebasedtargets.org/companies-taking-action</t>
  </si>
  <si>
    <t>CSV / XLSX</t>
  </si>
  <si>
    <t>Name matching to tickers is the only real work — match on normalised legal name within country. Gives you the target YEAR and AMBITION, which are the two inputs to the affordability calculation. Companies with no SBTi target still need a counterfactual target, not a null.</t>
  </si>
  <si>
    <t>S10</t>
  </si>
  <si>
    <t>Corporate sustainability reports</t>
  </si>
  <si>
    <t>Companies / responsibilityreports.com</t>
  </si>
  <si>
    <t>The self-published PDF. Aggregator indexes them by ticker.</t>
  </si>
  <si>
    <t>Scope 1/2/3, renewable %, water, waste, targets, assurance statements. Everything not in the 10-K.</t>
  </si>
  <si>
    <t>Scope 3; energy mix; water/waste; stated targets</t>
  </si>
  <si>
    <t>Scrape aggregator, then fetch PDFs</t>
  </si>
  <si>
    <t>requests, pdfplumber, PyMuPDF</t>
  </si>
  <si>
    <t>https://www.responsibilityreports.com</t>
  </si>
  <si>
    <t>PDF</t>
  </si>
  <si>
    <t>The hard part is finding 500 URLs, not reading them — the aggregator solves exactly that. PDFs are 60-150pp; pre-filter to the data-table pages before extraction. Self-reported: treat every number as a CLAIM with a quote attached, never as a fact.</t>
  </si>
  <si>
    <t>High</t>
  </si>
  <si>
    <t>S11</t>
  </si>
  <si>
    <t>Violation Tracker</t>
  </si>
  <si>
    <t>Good Jobs First</t>
  </si>
  <si>
    <t>Aggregated US enforcement actions across ~500 federal and state agencies.</t>
  </si>
  <si>
    <t>Penalties by company and parent: environmental, safety, labor, consumer, financial. Already mapped to parent company.</t>
  </si>
  <si>
    <t>Controversy flag (built from records, not news sentiment)</t>
  </si>
  <si>
    <t>Web UI; bulk on request</t>
  </si>
  <si>
    <t>requests, BeautifulSoup</t>
  </si>
  <si>
    <t>https://violationtracker.goodjobsfirst.org</t>
  </si>
  <si>
    <t>Free account for some features</t>
  </si>
  <si>
    <t>HTML / CSV export</t>
  </si>
  <si>
    <t>NO public API — this is the friction. Broader than you expect (financial + labor + consumer, not just environmental), so it is your highest-coverage controversy source. Its parent mapping is also a free second opinion on your entity resolution. Check licence terms before redistributing.</t>
  </si>
  <si>
    <t>S12</t>
  </si>
  <si>
    <t>Senate LDA lobbying disclosures</t>
  </si>
  <si>
    <t>US Senate</t>
  </si>
  <si>
    <t>Mandatory quarterly lobbying registration and spend reports.</t>
  </si>
  <si>
    <t>Registrant, client, spend, and specific issues/bills lobbied on. Climate-relevant filings are extractable.</t>
  </si>
  <si>
    <t>Say-do gap: pledges vs. political spending</t>
  </si>
  <si>
    <t>REST API + bulk XML</t>
  </si>
  <si>
    <t>https://lda.senate.gov/api/</t>
  </si>
  <si>
    <t>Free API key</t>
  </si>
  <si>
    <t>JSON / XML</t>
  </si>
  <si>
    <t>This is the purest say-do signal available for free: net-zero pledge next to membership in a trade group litigating against emissions rules. Attribution to parent is messy (firms lobby via associations). High payoff, medium reliability — treat as a flag, not a score.</t>
  </si>
  <si>
    <t>STRETCH</t>
  </si>
  <si>
    <t>S13</t>
  </si>
  <si>
    <t>CDP disclosure data</t>
  </si>
  <si>
    <t>CDP</t>
  </si>
  <si>
    <t>The dominant voluntary climate-disclosure questionnaire.</t>
  </si>
  <si>
    <t>Scope 1/2/3, water, targets, governance responses, CDP letter score.</t>
  </si>
  <si>
    <t>Scope 3; disclosure completeness</t>
  </si>
  <si>
    <t>Registration; bulk mostly licensed</t>
  </si>
  <si>
    <t>https://www.cdp.net/en/data</t>
  </si>
  <si>
    <t>Free registration; full data licensed</t>
  </si>
  <si>
    <t>XLSX / portal</t>
  </si>
  <si>
    <t>Response rate among S&amp;P 500 is high, but the useful bulk data is behind licensing — this is why the plan doc cut it. Scores sometimes available free. Do not build a required indicator on it; use S10 (company PDFs) as the free substitute.</t>
  </si>
  <si>
    <t>S14</t>
  </si>
  <si>
    <t>Kaggle S&amp;P 500 ESG Risk Ratings</t>
  </si>
  <si>
    <t>Kaggle (Sustainalytics-derived)</t>
  </si>
  <si>
    <t>Pre-scraped commercial ESG ratings for the index.</t>
  </si>
  <si>
    <t>Total ESG risk score, E/S/G component scores, controversy level, by ticker.</t>
  </si>
  <si>
    <t>VALIDATION ONLY — rank correlation against your own score</t>
  </si>
  <si>
    <t>Kaggle download</t>
  </si>
  <si>
    <t>kagglehub, pandas</t>
  </si>
  <si>
    <t>https://www.kaggle.com/datasets (search 'S&amp;P 500 ESG Risk Ratings')</t>
  </si>
  <si>
    <t>Free Kaggle account</t>
  </si>
  <si>
    <t>CSV</t>
  </si>
  <si>
    <t>NEVER use as an input — it is the thing you are trying to beat. Use it for the validation slide: expect modest rank correlation and investigate the disagreements. The three biggest disagreements, each explained, is a better demo than any chart.</t>
  </si>
  <si>
    <t>VALIDATION</t>
  </si>
  <si>
    <t>S15</t>
  </si>
  <si>
    <t>EPA GHGRP / FLIGHT</t>
  </si>
  <si>
    <t>US EPA</t>
  </si>
  <si>
    <t>Mandatory facility-level GHG reporting for US emitters over 25k tCO2e.</t>
  </si>
  <si>
    <t>Measured Scope 1 by facility and gas, 2010-present, plus 'Reported Parent Companies' with ownership %.</t>
  </si>
  <si>
    <t>Carbon intensity (measured); say-do gap vs. self-reported; trajectory</t>
  </si>
  <si>
    <t>3 - Narrow</t>
  </si>
  <si>
    <t>Verified (cited)</t>
  </si>
  <si>
    <t>Bulk download + Envirofacts API</t>
  </si>
  <si>
    <t>pandas, pyxlsb, requests</t>
  </si>
  <si>
    <t>https://www.epa.gov/ghgreporting/data-sets  |  https://data.epa.gov/efservice/</t>
  </si>
  <si>
    <t>XLSB / CSV / JSON</t>
  </si>
  <si>
    <t>Parent file is XLSB — needs pyxlsb, install hour 1. Only ~69 constituents match directly, BUT they carry ~82% of the index's reported Scope 1. Deep, not broad. 2010+ history makes it your only real trajectory source. FACILITY DIVESTITURES LOOK IDENTICAL TO EMISSIONS CUTS — flag companies whose facility count moves YoY.</t>
  </si>
  <si>
    <t>S16</t>
  </si>
  <si>
    <t>EPA TRI (Toxics Release Inventory)</t>
  </si>
  <si>
    <t>Mandatory facility-level chemical release reporting.</t>
  </si>
  <si>
    <t>Releases by chemical, medium (air/water/land), facility, year. Manufacturing and mining only.</t>
  </si>
  <si>
    <t>Resource &amp; waste intensity (non-carbon pollution)</t>
  </si>
  <si>
    <t>Envirofacts REST API</t>
  </si>
  <si>
    <t>https://data.epa.gov/efservice/  |  https://www.epa.gov/toxics-release-inventory-tri-program</t>
  </si>
  <si>
    <t>Covers manufacturing and mining only — structurally empty for services, finance, software. Raw pounds released is close to meaningless across chemicals; use S17 for toxicity weighting instead of summing kg.</t>
  </si>
  <si>
    <t>S17</t>
  </si>
  <si>
    <t>EPA RSEI</t>
  </si>
  <si>
    <t>TRI releases already toxicity-weighted and population-weighted.</t>
  </si>
  <si>
    <t>RSEI score per facility: pounds x toxicity x people exposed. The impact number, not the volume number.</t>
  </si>
  <si>
    <t>Resource &amp; waste intensity (impact-weighted)</t>
  </si>
  <si>
    <t>Bulk download</t>
  </si>
  <si>
    <t>https://www.epa.gov/rsei/rsei-data</t>
  </si>
  <si>
    <t>CSV (large)</t>
  </si>
  <si>
    <t>Does the hard normalisation work for you — this is why it beats raw TRI. Files are large; filter to your matched facilities before loading. Lags TRI by a year or two.</t>
  </si>
  <si>
    <t>S18</t>
  </si>
  <si>
    <t>EPA ECHO</t>
  </si>
  <si>
    <t>Compliance and enforcement history for permitted facilities.</t>
  </si>
  <si>
    <t>Inspections, violations, penalties, compliance status by facility, across Clean Air / Clean Water / RCRA.</t>
  </si>
  <si>
    <t>Controversy flag (environmental, hard-edged)</t>
  </si>
  <si>
    <t>REST API</t>
  </si>
  <si>
    <t>https://echo.epa.gov/tools/web-services</t>
  </si>
  <si>
    <t>Joins directly to the GHGRP/TRI facilities you already matched, so the marginal cost is low once entity resolution exists. Broader than GHGRP because water and waste permits catch non-emitters. Violation COUNT correlates with facility count — normalise per facility.</t>
  </si>
  <si>
    <t>S19</t>
  </si>
  <si>
    <t>EPA eGRID</t>
  </si>
  <si>
    <t>Regional grid average emission factors for US electricity.</t>
  </si>
  <si>
    <t>kg CO2e per MWh by eGRID subregion, plus regional generation fuel mix.</t>
  </si>
  <si>
    <t>Location-based Scope 2; renewable-claim check</t>
  </si>
  <si>
    <t>Direct download</t>
  </si>
  <si>
    <t>https://www.epa.gov/egrid/download-data</t>
  </si>
  <si>
    <t>XLSX</t>
  </si>
  <si>
    <t>A factor table, not a company dataset — coverage means 'companies with US facility locations you can join it to'. Its real value: location-based Scope 2 is independent of company claims, so it catches renewable claims that are unbundled REC purchases rather than a change in what the grid actually burns.</t>
  </si>
  <si>
    <t>S20</t>
  </si>
  <si>
    <t>EIA Forms 860 &amp; 923</t>
  </si>
  <si>
    <t>US EIA</t>
  </si>
  <si>
    <t>Plant-level capacity, generation and fuel for every US power plant.</t>
  </si>
  <si>
    <t>Nameplate capacity, annual generation by fuel, plant owner. Measured energy mix for utilities.</t>
  </si>
  <si>
    <t>Energy mix (measured, not self-reported)</t>
  </si>
  <si>
    <t>REST API v2 + bulk</t>
  </si>
  <si>
    <t>https://api.eia.gov/v2/</t>
  </si>
  <si>
    <t>Only ~32 index constituents are utilities or IPPs — but for those it is definitive, and utilities dominate the emissions ranking. Ownership is at plant level and partial stakes are common, so apply ownership fractions.</t>
  </si>
  <si>
    <t>S21</t>
  </si>
  <si>
    <t>EPA Green Power Partnership</t>
  </si>
  <si>
    <t>Voluntary programme publishing participants' green power purchases.</t>
  </si>
  <si>
    <t>Annual green power use in kWh and as % of total electricity, by participating organisation.</t>
  </si>
  <si>
    <t>Energy mix / renewable share (non-utilities)</t>
  </si>
  <si>
    <t>https://www.epa.gov/greenpower/green-power-partnership-national-top-100</t>
  </si>
  <si>
    <t>XLSX / HTML</t>
  </si>
  <si>
    <t>Voluntary, so participation is itself a (weak) signal and absence is NOT evidence of no renewables. Cheap quantitative renewable number for companies with no facility-level energy data. Pair with S19 to distinguish real procurement from REC accounting.</t>
  </si>
  <si>
    <t>S22</t>
  </si>
  <si>
    <t>Climate TRACE</t>
  </si>
  <si>
    <t>Climate TRACE coalition</t>
  </si>
  <si>
    <t>Satellite and sensor-derived asset-level emissions, global.</t>
  </si>
  <si>
    <t>Emissions by asset and sector, with ownership chains for a subset. Independent of anything a company says.</t>
  </si>
  <si>
    <t>Third-opinion emissions; non-US operations</t>
  </si>
  <si>
    <t>https://climatetrace.org/data  |  https://api.climatetrace.org</t>
  </si>
  <si>
    <t>Confirm the current API version before coding — it has changed. Full ownership chains exist for only ~18 subsectors / ~26k assets, and the CSV gives the SHORTEST path not all paths, so ownership is incomplete. Its value is as a THIRD opinion: EPA-measured vs. company-reported vs. satellite.</t>
  </si>
  <si>
    <t>S23</t>
  </si>
  <si>
    <t>Global Energy Monitor</t>
  </si>
  <si>
    <t>GEM</t>
  </si>
  <si>
    <t>Plant-by-plant trackers for coal, gas, steel, cement.</t>
  </si>
  <si>
    <t>Asset status (operating / construction / announced / retired), capacity, owner, retirement date.</t>
  </si>
  <si>
    <t>Transition trajectory of the physical asset base</t>
  </si>
  <si>
    <t>https://globalenergymonitor.org/projects/</t>
  </si>
  <si>
    <t>Free registration</t>
  </si>
  <si>
    <t>Narrow but uniquely forward-looking: what is under CONSTRUCTION tells you where a company is actually going, which no disclosure does. Best single source for the 'credible transition' call in the bonus question. Only relevant to utilities, materials, energy.</t>
  </si>
  <si>
    <t>S24</t>
  </si>
  <si>
    <t>USPTO PatentsView</t>
  </si>
  <si>
    <t>USPTO</t>
  </si>
  <si>
    <t>Full US patent database with CPC classifications and assignees.</t>
  </si>
  <si>
    <t>Patents by assignee and year, CPC class. Y02 = climate change mitigation technologies.</t>
  </si>
  <si>
    <t>Innovation / green R&amp;D direction</t>
  </si>
  <si>
    <t>https://search.patentsview.org/api/v1/patent/</t>
  </si>
  <si>
    <t>Nearly impossible to greenwash — patents are filed for legal reasons, not PR. Y02 share and its TREND is a genuine leading indicator. True zero for financials and most services (not missing data — say so). Assignee-name to ticker matching is the work; assignees are often subsidiaries, so reuse S05/S06.</t>
  </si>
  <si>
    <t>S25</t>
  </si>
  <si>
    <t>USASpending.gov</t>
  </si>
  <si>
    <t>US Treasury</t>
  </si>
  <si>
    <t>All federal contracts, grants and loans by recipient.</t>
  </si>
  <si>
    <t>Award amounts by recipient and programme, including DOE clean-energy grants and loan guarantees.</t>
  </si>
  <si>
    <t>External validation of transition capex</t>
  </si>
  <si>
    <t>https://api.usaspending.gov/api/v2/</t>
  </si>
  <si>
    <t>Government money going into a company's transition is a credibility signal that costs the company nothing to claim but something to obtain. Recipient names are messy — use the DUNS/UEI fields, not names. Only meaningful for contractors and grant recipients.</t>
  </si>
  <si>
    <t>S26</t>
  </si>
  <si>
    <t>WRI Aqueduct</t>
  </si>
  <si>
    <t>World Resources Institute</t>
  </si>
  <si>
    <t>Global water-stress and water-risk layers by coordinate.</t>
  </si>
  <si>
    <t>Baseline water stress, depletion, drought risk, per catchment. Joinable to facility lat/long.</t>
  </si>
  <si>
    <t>Water impact (weighted by local scarcity)</t>
  </si>
  <si>
    <t>Download shapefile / GeoPackage</t>
  </si>
  <si>
    <t>geopandas, shapely</t>
  </si>
  <si>
    <t>https://www.wri.org/data/aqueduct-global-maps-40-data</t>
  </si>
  <si>
    <t>SHP / GPKG / CSV</t>
  </si>
  <si>
    <t>Turns water VOLUME into water IMPACT — a cubic metre in Arizona is not a cubic metre in Michigan. Needs facility coordinates, which you get free from GHGRP/TRI. Requires a spatial join; budget time for the geopandas install. Makes a map, which demos well.</t>
  </si>
  <si>
    <t>S27</t>
  </si>
  <si>
    <t>FEMA National Risk Index</t>
  </si>
  <si>
    <t>FEMA</t>
  </si>
  <si>
    <t>County-level natural-hazard risk scores for the US.</t>
  </si>
  <si>
    <t>Expected annual loss and risk rating by hazard type (flood, wildfire, hurricane, heat) per county.</t>
  </si>
  <si>
    <t>Physical climate risk exposure of the asset base</t>
  </si>
  <si>
    <t>pandas, geopandas</t>
  </si>
  <si>
    <t>https://hazards.fema.gov/nri/data-resources</t>
  </si>
  <si>
    <t>CSV / GDB</t>
  </si>
  <si>
    <t>Physical risk is a genuine gap in most hackathon frameworks — almost everyone does transition risk only. County-level join via facility address is easy (no spatial join needed if you have county FIPS). US-only, so it understates for global operators.</t>
  </si>
  <si>
    <t>S28</t>
  </si>
  <si>
    <t>OSHA enforcement data</t>
  </si>
  <si>
    <t>US DOL</t>
  </si>
  <si>
    <t>Workplace safety inspections, violations and penalties.</t>
  </si>
  <si>
    <t>Inspection records, violation severity, penalties, by establishment.</t>
  </si>
  <si>
    <t>Controversy flag (operational / social)</t>
  </si>
  <si>
    <t>https://enforcedata.dol.gov/views/data_catalogs.php</t>
  </si>
  <si>
    <t>Matters of record rather than news sentiment, which is the property you want in a governance indicator. Establishment-level names need the same entity resolution as EPA data, so the marginal cost is low once S05 exists. Normalise by headcount or facility count.</t>
  </si>
  <si>
    <t>S29</t>
  </si>
  <si>
    <t>Stanford Securities Class Action Clearinghouse</t>
  </si>
  <si>
    <t>Stanford Law</t>
  </si>
  <si>
    <t>Register of US federal securities class actions since 1996.</t>
  </si>
  <si>
    <t>Filing date, defendant, allegations, status, settlement amount.</t>
  </si>
  <si>
    <t>Controversy flag (governance / disclosure integrity)</t>
  </si>
  <si>
    <t>Web scrape</t>
  </si>
  <si>
    <t>https://securities.stanford.edu</t>
  </si>
  <si>
    <t>Specifically disclosure-integrity litigation, which is more relevant to a framework built on verifying disclosure than generic controversy counts. No API; scrape the index pages. Skewed toward large caps (more litigation targets), so normalise or use as a binary.</t>
  </si>
  <si>
    <t>Origin</t>
  </si>
  <si>
    <t>Indicator</t>
  </si>
  <si>
    <t>What it measures</t>
  </si>
  <si>
    <t>How it is computed</t>
  </si>
  <si>
    <t>Primary source</t>
  </si>
  <si>
    <t>Fallback source</t>
  </si>
  <si>
    <t>Est. coverage</t>
  </si>
  <si>
    <t>Notes / risk</t>
  </si>
  <si>
    <t>P1 Environmental &amp; Resource Efficiency</t>
  </si>
  <si>
    <t>Original ESG</t>
  </si>
  <si>
    <t>Carbon intensity</t>
  </si>
  <si>
    <t>Scope 1+2 emissions per $m revenue.</t>
  </si>
  <si>
    <t>(GHGRP measured Scope 1 + location-based Scope 2 via eGRID) / XBRL revenue. Percentile within GICS sector.</t>
  </si>
  <si>
    <t>S15, S19, S01</t>
  </si>
  <si>
    <t>S10 self-reported</t>
  </si>
  <si>
    <t>Measured for ~69, self-reported for ~455, imputed for the rest. Carry the SOURCE TIER per company: EPA-measured / quote-verified disclosure / modelled. That three-tier verifiability axis is the differentiator.</t>
  </si>
  <si>
    <t>Energy mix</t>
  </si>
  <si>
    <t>Share of electricity from low-carbon sources.</t>
  </si>
  <si>
    <t>Utilities: EIA 923 generation by fuel. Others: Green Power Partnership kWh / total, else sector median.</t>
  </si>
  <si>
    <t>S20, S21</t>
  </si>
  <si>
    <t>Cross-check against eGRID regional mix. A renewable claim that does not move location-based Scope 2 is an unbundled REC purchase — flag it, do not credit it.</t>
  </si>
  <si>
    <t>Resource &amp; waste intensity</t>
  </si>
  <si>
    <t>Non-carbon environmental burden, weighted by harm.</t>
  </si>
  <si>
    <t>RSEI score (toxicity x population weighted) per $m revenue. Water volume x Aqueduct stress where available.</t>
  </si>
  <si>
    <t>S17, S16, S26</t>
  </si>
  <si>
    <t>Sector median</t>
  </si>
  <si>
    <t>Manufacturing and mining only. This indicator is EMPTY for over half the index — let SASB materiality weighting handle that rather than imputing.</t>
  </si>
  <si>
    <t>Corporate (10-K)</t>
  </si>
  <si>
    <t>Input &amp; operational efficiency</t>
  </si>
  <si>
    <t>How efficiently inputs convert to output; exposure to input cost shocks.</t>
  </si>
  <si>
    <t>COGS / revenue, and energy cost intensity, from XBRL. Hitword density for input-cost and supply-chain risk in Item 1A.</t>
  </si>
  <si>
    <t>S01, S02</t>
  </si>
  <si>
    <t>This is the bridge between the two framings: resource efficiency is both an environmental and a margin story. Raw hitword counts measure document length — use the text-vs-XBRL DISCREPANCY, not the count.</t>
  </si>
  <si>
    <t>P2 Transition &amp; Structural Risk</t>
  </si>
  <si>
    <t>Carbon-price exposure</t>
  </si>
  <si>
    <t>Margin damage from a shadow carbon price.</t>
  </si>
  <si>
    <t>(Scope 1+2 x assumed $/tonne) / EBITDA. Price is a user-facing slider, default $100, bonus scenario $150.</t>
  </si>
  <si>
    <t>S15, S01</t>
  </si>
  <si>
    <t>Transparent arithmetic, no black box. Feeds the bonus question directly: reported EBIT vs. carbon-adjusted EBIT, distance from the diagonal = unpriced liability.</t>
  </si>
  <si>
    <t>New (finance view)</t>
  </si>
  <si>
    <t>Transition affordability</t>
  </si>
  <si>
    <t>Whether the company can pay for the transition it has promised.</t>
  </si>
  <si>
    <t>((current emissions - target emissions) x sector abatement cost/tonne / years to target) / free cash flow.</t>
  </si>
  <si>
    <t>S09, S15, S01</t>
  </si>
  <si>
    <t>Counterfactual target</t>
  </si>
  <si>
    <t>YOUR STRONGEST INDICATOR AND YOUR RISKIEST. Multiplies three uncertain quantities, so error compounds. Hand-check the 10 most extreme values before showing anyone. No stated target = score against the sector median commitment, marked as imputed, confidence penalised.</t>
  </si>
  <si>
    <t>Innovation &amp; regulatory momentum</t>
  </si>
  <si>
    <t>Whether capability and commitment are actually being built.</t>
  </si>
  <si>
    <t>Y02 patent share of recent filings + trend. SBTi validated (binary). R&amp;D intensity from XBRL.</t>
  </si>
  <si>
    <t>S24, S09, S01</t>
  </si>
  <si>
    <t>Y02 is the differentiator nobody else will have. True zero for financials and services — report as zero-with-explanation, not null. Combine with GEM construction pipeline for heavy industry.</t>
  </si>
  <si>
    <t>Structural / disruption exposure</t>
  </si>
  <si>
    <t>Non-climate shocks that could end the business.</t>
  </si>
  <si>
    <t>Item 1A hitword clusters weighted by POSITION in the section and proximity to intensifiers ('material adverse effect').</t>
  </si>
  <si>
    <t>S02, S03</t>
  </si>
  <si>
    <t>Position beats frequency — every company mentions litigation, but what comes FIRST in Item 1A is what management fears. Naive counting has no negation handling; name that limitation in the pitch rather than hiding it.</t>
  </si>
  <si>
    <t>P3 Governance &amp; Capital Stewardship</t>
  </si>
  <si>
    <t>Climate governance</t>
  </si>
  <si>
    <t>Whether climate is actually governed, not just discussed.</t>
  </si>
  <si>
    <t>Four booleans from DEF 14A: climate-oversight committee / comp tied to emissions target / third-party assurance / boundary stated.</t>
  </si>
  <si>
    <t>Booleans with verbatim quotes are robust. Graded scores over prose are where hallucination lives. This is your most complete indicator — make it the backbone of the full-500 view.</t>
  </si>
  <si>
    <t>Corporate (proxy)</t>
  </si>
  <si>
    <t>Compensation alignment</t>
  </si>
  <si>
    <t>Whether pay is tied to long-term outcomes.</t>
  </si>
  <si>
    <t>Presence of PSUs, multi-year performance periods, clawback provisions, ESG-linked metrics. Keyword + quote.</t>
  </si>
  <si>
    <t>Same extraction pipeline as climate governance, so near-zero marginal cost. Watch negation: 'we do not maintain a clawback policy' contains the keyword and means the opposite.</t>
  </si>
  <si>
    <t>Board independence &amp; structure</t>
  </si>
  <si>
    <t>Board composition and refreshment.</t>
  </si>
  <si>
    <t>Independent director count / board size, lead independent director presence, related-party transactions.</t>
  </si>
  <si>
    <t>Easy and near-complete, but WEAKLY RELATED TO SUSTAINABILITY. Keep the weight low or a judge will ask why corporate governance boilerplate sits in a climate framework.</t>
  </si>
  <si>
    <t>Corporate (10-K + XBRL)</t>
  </si>
  <si>
    <t>Capital stewardship</t>
  </si>
  <si>
    <t>Where the money actually goes.</t>
  </si>
  <si>
    <t>(Capex + R&amp;D) vs. (buybacks + dividends), from XBRL. Compare against management's forward-looking language.</t>
  </si>
  <si>
    <t>The purest say-do test available and it needs no PDF extraction: management talks about innovation, XBRL shows what they spent. Ship the discrepancy, not the level.</t>
  </si>
  <si>
    <t>Controversy / enforcement record</t>
  </si>
  <si>
    <t>What the company has actually been penalised for.</t>
  </si>
  <si>
    <t>Penalty totals and counts from Violation Tracker, ECHO, OSHA, SCAC. Normalised by revenue and facility count.</t>
  </si>
  <si>
    <t>S11, S18, S28, S29</t>
  </si>
  <si>
    <t>S07 yfinance flag</t>
  </si>
  <si>
    <t>Build from COURT AND AGENCY RECORDS, not news scraping. News-based controversy scores measure media coverage volume, which tracks company size and English-language salience, not behaviour. A judge who knows ESG will ask.</t>
  </si>
  <si>
    <t>X Cross-cutting</t>
  </si>
  <si>
    <t>Prerequisite</t>
  </si>
  <si>
    <t>Entity resolution</t>
  </si>
  <si>
    <t>Mapping facilities and subsidiaries to the listed parent.</t>
  </si>
  <si>
    <t>Layer 1 Exhibit 21. Layer 2 GHGRP parent file (has ownership %). Layer 3 normalised string match. Layer 4 fuzzy, reviewed.</t>
  </si>
  <si>
    <t>S05, S06, S15</t>
  </si>
  <si>
    <t>rapidfuzz</t>
  </si>
  <si>
    <t>Every facility-based source depends on this. Match within a constraining context (state, SIC, address) — never on name alone ('Delta', 'Apache'). Store validity DATES: an acquisition mid-year splits a facility between two parents, and divestitures look identical to emissions cuts.</t>
  </si>
  <si>
    <t>Data confidence score</t>
  </si>
  <si>
    <t>How much evidence sits behind each company's score.</t>
  </si>
  <si>
    <t>Share of indicators quote-verified vs. imputed, weighted by pillar. Rendered as OPACITY on the 3D map.</t>
  </si>
  <si>
    <t>Manifest</t>
  </si>
  <si>
    <t>This is the disclosure penalty made visible: a company floating in the good corner but nearly transparent is claiming to be good without evidence. Costs no axis, uses a free visual channel, and is the best one-second explanation of your whole framework.</t>
  </si>
  <si>
    <t>Coverage Summary</t>
  </si>
  <si>
    <t>All counts are formulas over the Data Sources sheet — edit a coverage number there and these update.</t>
  </si>
  <si>
    <t>By coverage tier</t>
  </si>
  <si>
    <t># sources</t>
  </si>
  <si>
    <t>Mean coverage (companies)</t>
  </si>
  <si>
    <t>Mean %</t>
  </si>
  <si>
    <t>By build priority</t>
  </si>
  <si>
    <t>By primary pillar</t>
  </si>
  <si>
    <t>Primary pillar</t>
  </si>
  <si>
    <t>By build effort</t>
  </si>
  <si>
    <t>Headline numbers</t>
  </si>
  <si>
    <t>Total sources registered</t>
  </si>
  <si>
    <t>Sources needing no auth at all</t>
  </si>
  <si>
    <t>Sources with near-universal coverage (&gt;=450)</t>
  </si>
  <si>
    <t>Sources covering under 150 companies</t>
  </si>
  <si>
    <t>MUST-build sources</t>
  </si>
  <si>
    <t>Coverage estimates still unverified</t>
  </si>
  <si>
    <t>Note: 'mean coverage' averages the estimated coverage of the sources in each group. It is a planning heuristic, not a company count — sources overlap.</t>
  </si>
  <si>
    <t>Access Cheatsheet</t>
  </si>
  <si>
    <t>Install list, auth, rate limits and the snippets worth having before hour zero.</t>
  </si>
  <si>
    <t>Topic</t>
  </si>
  <si>
    <t>Detail</t>
  </si>
  <si>
    <t>Why it matters / what breaks without it</t>
  </si>
  <si>
    <t>Install (hour 1)</t>
  </si>
  <si>
    <t>pip install pandas requests openpyxl pyxlsb sec-edgar-downloader edgartools yfinance rapidfuzz pdfplumber beautifulsoup4 lxml</t>
  </si>
  <si>
    <t>pyxlsb is the one people forget — the EPA parent-company file is XLSB and nothing else reads it.</t>
  </si>
  <si>
    <t>Install (only if used)</t>
  </si>
  <si>
    <t>pip install geopandas shapely kagglehub PyMuPDF</t>
  </si>
  <si>
    <t>geopandas is a heavy install. Only needed for the Aqueduct / FEMA spatial joins. Do not put it on the critical path.</t>
  </si>
  <si>
    <t>SEC User-Agent</t>
  </si>
  <si>
    <t>headers = {'User-Agent': 'TeamName yourname@email.com'}</t>
  </si>
  <si>
    <t>Without a real contact address EDGAR blocks you, usually after you have already written the loop. Set it once in a shared session object.</t>
  </si>
  <si>
    <t>SEC rate limit</t>
  </si>
  <si>
    <t>Max 10 requests/second. Sleep 0.11s between calls, or use a token bucket.</t>
  </si>
  <si>
    <t>Exceeding it gets the IP blocked for a period. With 500 companies x several filings you will hit this immediately.</t>
  </si>
  <si>
    <t>API keys needed</t>
  </si>
  <si>
    <t>EIA (api.eia.gov), USPTO PatentsView, Senate LDA. All free, all instant, all email-verified.</t>
  </si>
  <si>
    <t>Register these BEFORE the clock starts. Three signup flows during a build is 30 minutes you do not have.</t>
  </si>
  <si>
    <t>Caching</t>
  </si>
  <si>
    <t>Cache every fetch and every extraction to disk as JSON keyed by ticker+field. Never re-fetch, never re-extract.</t>
  </si>
  <si>
    <t>You will rerun scoring 20+ times. Re-extraction is the single biggest avoidable time sink and the biggest avoidable cost.</t>
  </si>
  <si>
    <t>Schema freeze</t>
  </si>
  <si>
    <t>One repo, one schema.py, agreed before anyone generates extraction code.</t>
  </si>
  <si>
    <t>Four people generating four incompatible pipelines in parallel is the real hazard of moving fast. Costs 30 minutes, saves hours.</t>
  </si>
  <si>
    <t>Extraction record shape</t>
  </si>
  <si>
    <t>ticker, field, value, unit, quote, source_url, source_section, extracted_by, status</t>
  </si>
  <si>
    <t>status in {quote_verified, not_disclosed, quote_failed}. Every number carries a verbatim quote or it is null.</t>
  </si>
  <si>
    <t>Quote validation</t>
  </si>
  <si>
    <t>If quote is not a character-for-character substring of the source text, discard and mark not_disclosed.</t>
  </si>
  <si>
    <t>Mechanical, cheap, and catches most confident-but-wrong extractions. 'Not disclosed' is a signal, not a gap.</t>
  </si>
  <si>
    <t>Pre-filtering filings</t>
  </si>
  <si>
    <t>Strip HTML, locate section by heading, keep +/-2-3k chars around keyword hits. 5-15k tokens sent, not 200k.</t>
  </si>
  <si>
    <t>~15x cheaper, faster, and MORE accurate — long context dilutes attention on the relevant passage.</t>
  </si>
  <si>
    <t>One row per company per field with status. Chart coverage by sector on your own dashboard.</t>
  </si>
  <si>
    <t>Silent partial failure is the failure mode you will not notice until the demo. The manifest makes it visible, and the coverage chart becomes a slide.</t>
  </si>
  <si>
    <t>Entity matching order</t>
  </si>
  <si>
    <t>1 Exhibit 21  2 source's own parent field  3 normalised string match  4 fuzzy (review each)</t>
  </si>
  <si>
    <t>Strip legal suffixes (Inc, Corp, LLC, LP, Holdings) and punctuation BEFORE reaching for fuzzy matching — a surprising share of the problem is 'Inc.' vs 'Inc'.</t>
  </si>
  <si>
    <t>Entity matching trap</t>
  </si>
  <si>
    <t>Always match within a constraining context: state, SIC code, or address. Never on name alone.</t>
  </si>
  <si>
    <t>'Delta' is an airline and several chemical firms. 'Apache' is oil and gas and a software foundation.</t>
  </si>
  <si>
    <t>Divestiture trap</t>
  </si>
  <si>
    <t>Flag any company whose facility count moves year-on-year; exclude from trajectory scoring.</t>
  </si>
  <si>
    <t>A divestiture looks exactly like an emissions cut in the data. This will produce a wrong headline if unhandled.</t>
  </si>
  <si>
    <t>Hand-check budget</t>
  </si>
  <si>
    <t>30 random extractions, plus the 10 most extreme affordability values. Write the measured error rate on a slide.</t>
  </si>
  <si>
    <t>Putting your own error rate on screen is more persuasive than any accuracy claim, and pre-empts the sharpest question.</t>
  </si>
  <si>
    <t>Verify before scoping</t>
  </si>
  <si>
    <t>Download the SBTi CSV and the GHGRP parent file, join both to your ticker list, count the matches.</t>
  </si>
  <si>
    <t>About two hours, and it tells you whether the transition pillar has enough data to stand up before you build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</si>
</sst>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E2EFDA"/>
      </patternFill>
    </fill>
    <fill>
      <patternFill patternType="solid">
        <fgColor rgb="FFC6E0B4"/>
        <bgColor rgb="FFD9EAD3"/>
      </patternFill>
    </fill>
    <fill>
      <patternFill patternType="solid">
        <fgColor rgb="FFFFE699"/>
        <bgColor rgb="FFFCE5CD"/>
      </patternFill>
    </fill>
    <fill>
      <patternFill patternType="solid">
        <fgColor rgb="FFFFF2CC"/>
        <bgColor rgb="FFFCE5CD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9EAD3"/>
      </patternFill>
    </fill>
    <fill>
      <patternFill patternType="solid">
        <fgColor rgb="FFFCE5CD"/>
        <bgColor rgb="FFFFF2CC"/>
      </patternFill>
    </fill>
    <fill>
      <patternFill patternType="solid">
        <fgColor rgb="FFE2EFDA"/>
        <bgColor rgb="FFD9EAD3"/>
      </patternFill>
    </fill>
    <fill>
      <patternFill patternType="solid">
        <fgColor rgb="FFDE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5" fillId="0" borderId="1" xfId="0" applyFont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FE699"/>
      <rgbColor rgb="FFC6E0B4"/>
      <rgbColor rgb="FFFCE5CD"/>
      <rgbColor rgb="FFEDEDED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showGridLines="0" topLeftCell="A35" zoomScale="157" zoomScaleNormal="100" workbookViewId="0">
      <selection activeCell="A34" sqref="A34"/>
    </sheetView>
  </sheetViews>
  <sheetFormatPr baseColWidth="10" defaultColWidth="8.6640625" defaultRowHeight="15" x14ac:dyDescent="0.2"/>
  <cols>
    <col min="1" max="1" width="125" customWidth="1"/>
  </cols>
  <sheetData>
    <row r="1" spans="1:1" ht="18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/>
    </row>
    <row r="4" spans="1:1" x14ac:dyDescent="0.2">
      <c r="A4" s="4" t="s">
        <v>2</v>
      </c>
    </row>
    <row r="5" spans="1:1" x14ac:dyDescent="0.2">
      <c r="A5" s="3" t="s">
        <v>3</v>
      </c>
    </row>
    <row r="6" spans="1:1" x14ac:dyDescent="0.2">
      <c r="A6" s="3"/>
    </row>
    <row r="7" spans="1:1" x14ac:dyDescent="0.2">
      <c r="A7" s="5" t="s">
        <v>4</v>
      </c>
    </row>
    <row r="8" spans="1:1" x14ac:dyDescent="0.2">
      <c r="A8" s="3" t="s">
        <v>5</v>
      </c>
    </row>
    <row r="9" spans="1:1" x14ac:dyDescent="0.2">
      <c r="A9" s="3" t="s">
        <v>6</v>
      </c>
    </row>
    <row r="10" spans="1:1" x14ac:dyDescent="0.2">
      <c r="A10" s="3"/>
    </row>
    <row r="11" spans="1:1" x14ac:dyDescent="0.2">
      <c r="A11" s="5" t="s">
        <v>7</v>
      </c>
    </row>
    <row r="12" spans="1:1" x14ac:dyDescent="0.2">
      <c r="A12" s="3" t="s">
        <v>8</v>
      </c>
    </row>
    <row r="13" spans="1:1" x14ac:dyDescent="0.2">
      <c r="A13" s="3" t="s">
        <v>9</v>
      </c>
    </row>
    <row r="14" spans="1:1" x14ac:dyDescent="0.2">
      <c r="A14" s="3"/>
    </row>
    <row r="15" spans="1:1" x14ac:dyDescent="0.2">
      <c r="A15" s="5" t="s">
        <v>10</v>
      </c>
    </row>
    <row r="16" spans="1:1" x14ac:dyDescent="0.2">
      <c r="A16" s="3" t="s">
        <v>11</v>
      </c>
    </row>
    <row r="17" spans="1:1" x14ac:dyDescent="0.2">
      <c r="A17" s="3" t="s">
        <v>12</v>
      </c>
    </row>
    <row r="18" spans="1:1" x14ac:dyDescent="0.2">
      <c r="A18" s="3"/>
    </row>
    <row r="19" spans="1:1" x14ac:dyDescent="0.2">
      <c r="A19" s="5" t="s">
        <v>13</v>
      </c>
    </row>
    <row r="20" spans="1:1" x14ac:dyDescent="0.2">
      <c r="A20" s="3" t="s">
        <v>14</v>
      </c>
    </row>
    <row r="21" spans="1:1" x14ac:dyDescent="0.2">
      <c r="A21" s="3"/>
    </row>
    <row r="22" spans="1:1" x14ac:dyDescent="0.2">
      <c r="A22" s="4" t="s">
        <v>15</v>
      </c>
    </row>
    <row r="23" spans="1:1" x14ac:dyDescent="0.2">
      <c r="A23" s="3" t="s">
        <v>16</v>
      </c>
    </row>
    <row r="24" spans="1:1" x14ac:dyDescent="0.2">
      <c r="A24" s="3" t="s">
        <v>17</v>
      </c>
    </row>
    <row r="25" spans="1:1" x14ac:dyDescent="0.2">
      <c r="A25" s="3" t="s">
        <v>18</v>
      </c>
    </row>
    <row r="26" spans="1:1" x14ac:dyDescent="0.2">
      <c r="A26" s="3" t="s">
        <v>19</v>
      </c>
    </row>
    <row r="27" spans="1:1" x14ac:dyDescent="0.2">
      <c r="A27" s="3"/>
    </row>
    <row r="28" spans="1:1" x14ac:dyDescent="0.2">
      <c r="A28" s="4" t="s">
        <v>20</v>
      </c>
    </row>
    <row r="29" spans="1:1" x14ac:dyDescent="0.2">
      <c r="A29" s="3" t="s">
        <v>21</v>
      </c>
    </row>
    <row r="30" spans="1:1" x14ac:dyDescent="0.2">
      <c r="A30" s="3" t="s">
        <v>22</v>
      </c>
    </row>
    <row r="31" spans="1:1" x14ac:dyDescent="0.2">
      <c r="A31" s="3" t="s">
        <v>23</v>
      </c>
    </row>
    <row r="32" spans="1:1" x14ac:dyDescent="0.2">
      <c r="A32" s="3" t="s">
        <v>24</v>
      </c>
    </row>
    <row r="33" spans="1:1" x14ac:dyDescent="0.2">
      <c r="A33" s="3" t="s">
        <v>25</v>
      </c>
    </row>
    <row r="34" spans="1:1" x14ac:dyDescent="0.2">
      <c r="A34" s="3" t="s">
        <v>26</v>
      </c>
    </row>
    <row r="35" spans="1:1" x14ac:dyDescent="0.2">
      <c r="A35" s="3"/>
    </row>
    <row r="36" spans="1:1" x14ac:dyDescent="0.2">
      <c r="A36" s="4" t="s">
        <v>27</v>
      </c>
    </row>
    <row r="37" spans="1:1" x14ac:dyDescent="0.2">
      <c r="A37" s="3" t="s">
        <v>28</v>
      </c>
    </row>
    <row r="38" spans="1:1" x14ac:dyDescent="0.2">
      <c r="A38" s="3" t="s">
        <v>29</v>
      </c>
    </row>
    <row r="39" spans="1:1" x14ac:dyDescent="0.2">
      <c r="A39" s="3" t="s">
        <v>30</v>
      </c>
    </row>
    <row r="40" spans="1:1" x14ac:dyDescent="0.2">
      <c r="A40" s="3"/>
    </row>
    <row r="41" spans="1:1" x14ac:dyDescent="0.2">
      <c r="A41" s="5" t="s">
        <v>31</v>
      </c>
    </row>
    <row r="42" spans="1:1" x14ac:dyDescent="0.2">
      <c r="A42" s="3" t="s">
        <v>32</v>
      </c>
    </row>
    <row r="43" spans="1:1" x14ac:dyDescent="0.2">
      <c r="A43" s="3" t="s">
        <v>33</v>
      </c>
    </row>
    <row r="44" spans="1:1" x14ac:dyDescent="0.2">
      <c r="A44" s="3" t="s">
        <v>34</v>
      </c>
    </row>
    <row r="45" spans="1:1" x14ac:dyDescent="0.2">
      <c r="A45" s="3" t="s">
        <v>35</v>
      </c>
    </row>
    <row r="46" spans="1:1" x14ac:dyDescent="0.2">
      <c r="A46" s="3" t="s">
        <v>36</v>
      </c>
    </row>
    <row r="47" spans="1:1" x14ac:dyDescent="0.2">
      <c r="A47" s="3"/>
    </row>
    <row r="48" spans="1:1" x14ac:dyDescent="0.2">
      <c r="A48" s="4" t="s">
        <v>37</v>
      </c>
    </row>
    <row r="49" spans="1:1" x14ac:dyDescent="0.2">
      <c r="A49" s="3" t="s">
        <v>38</v>
      </c>
    </row>
    <row r="50" spans="1:1" x14ac:dyDescent="0.2">
      <c r="A50" s="3" t="s">
        <v>39</v>
      </c>
    </row>
    <row r="51" spans="1:1" x14ac:dyDescent="0.2">
      <c r="A51" s="3" t="s">
        <v>40</v>
      </c>
    </row>
    <row r="52" spans="1:1" x14ac:dyDescent="0.2">
      <c r="A52" s="3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30"/>
  <sheetViews>
    <sheetView zoomScale="119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41" sqref="E41"/>
    </sheetView>
  </sheetViews>
  <sheetFormatPr baseColWidth="10" defaultColWidth="8.6640625" defaultRowHeight="15" x14ac:dyDescent="0.2"/>
  <cols>
    <col min="1" max="1" width="7" customWidth="1"/>
    <col min="2" max="2" width="26" customWidth="1"/>
    <col min="3" max="3" width="17" customWidth="1"/>
    <col min="4" max="4" width="46" customWidth="1"/>
    <col min="5" max="5" width="52" customWidth="1"/>
    <col min="6" max="6" width="9" customWidth="1"/>
    <col min="7" max="7" width="10" customWidth="1"/>
    <col min="8" max="8" width="34" customWidth="1"/>
    <col min="9" max="9" width="11" customWidth="1"/>
    <col min="10" max="10" width="10" customWidth="1"/>
    <col min="11" max="11" width="14" customWidth="1"/>
    <col min="12" max="12" width="13" customWidth="1"/>
    <col min="13" max="14" width="26" customWidth="1"/>
    <col min="15" max="15" width="54" customWidth="1"/>
    <col min="16" max="17" width="16" customWidth="1"/>
    <col min="18" max="18" width="56" customWidth="1"/>
    <col min="19" max="19" width="9" customWidth="1"/>
    <col min="20" max="20" width="11" customWidth="1"/>
  </cols>
  <sheetData>
    <row r="1" spans="1:20" ht="42" x14ac:dyDescent="0.2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  <c r="L1" s="6" t="s">
        <v>53</v>
      </c>
      <c r="M1" s="6" t="s">
        <v>54</v>
      </c>
      <c r="N1" s="6" t="s">
        <v>55</v>
      </c>
      <c r="O1" s="6" t="s">
        <v>56</v>
      </c>
      <c r="P1" s="6" t="s">
        <v>57</v>
      </c>
      <c r="Q1" s="6" t="s">
        <v>58</v>
      </c>
      <c r="R1" s="6" t="s">
        <v>59</v>
      </c>
      <c r="S1" s="6" t="s">
        <v>60</v>
      </c>
      <c r="T1" s="6" t="s">
        <v>61</v>
      </c>
    </row>
    <row r="2" spans="1:20" ht="70" x14ac:dyDescent="0.2">
      <c r="A2" s="7" t="s">
        <v>62</v>
      </c>
      <c r="B2" s="7" t="s">
        <v>63</v>
      </c>
      <c r="C2" s="7" t="s">
        <v>64</v>
      </c>
      <c r="D2" s="7" t="s">
        <v>65</v>
      </c>
      <c r="E2" s="7" t="s">
        <v>66</v>
      </c>
      <c r="F2" s="8" t="s">
        <v>67</v>
      </c>
      <c r="G2" s="8" t="s">
        <v>68</v>
      </c>
      <c r="H2" s="7" t="s">
        <v>69</v>
      </c>
      <c r="I2" s="9">
        <v>500</v>
      </c>
      <c r="J2" s="10">
        <f t="shared" ref="J2:J30" si="0">IFERROR(I2/500,"")</f>
        <v>1</v>
      </c>
      <c r="K2" s="11" t="s">
        <v>70</v>
      </c>
      <c r="L2" s="7" t="s">
        <v>71</v>
      </c>
      <c r="M2" s="7" t="s">
        <v>72</v>
      </c>
      <c r="N2" s="7" t="s">
        <v>73</v>
      </c>
      <c r="O2" s="7" t="s">
        <v>74</v>
      </c>
      <c r="P2" s="7" t="s">
        <v>75</v>
      </c>
      <c r="Q2" s="7" t="s">
        <v>76</v>
      </c>
      <c r="R2" s="7" t="s">
        <v>77</v>
      </c>
      <c r="S2" s="8" t="s">
        <v>78</v>
      </c>
      <c r="T2" s="12" t="s">
        <v>79</v>
      </c>
    </row>
    <row r="3" spans="1:20" ht="56" x14ac:dyDescent="0.2">
      <c r="A3" s="7" t="s">
        <v>80</v>
      </c>
      <c r="B3" s="7" t="s">
        <v>81</v>
      </c>
      <c r="C3" s="7" t="s">
        <v>64</v>
      </c>
      <c r="D3" s="7" t="s">
        <v>82</v>
      </c>
      <c r="E3" s="7" t="s">
        <v>83</v>
      </c>
      <c r="F3" s="8" t="s">
        <v>84</v>
      </c>
      <c r="G3" s="8" t="s">
        <v>85</v>
      </c>
      <c r="H3" s="7" t="s">
        <v>86</v>
      </c>
      <c r="I3" s="9">
        <v>500</v>
      </c>
      <c r="J3" s="10">
        <f t="shared" si="0"/>
        <v>1</v>
      </c>
      <c r="K3" s="11" t="s">
        <v>70</v>
      </c>
      <c r="L3" s="7" t="s">
        <v>71</v>
      </c>
      <c r="M3" s="7" t="s">
        <v>87</v>
      </c>
      <c r="N3" s="7" t="s">
        <v>88</v>
      </c>
      <c r="O3" s="7" t="s">
        <v>89</v>
      </c>
      <c r="P3" s="7" t="s">
        <v>75</v>
      </c>
      <c r="Q3" s="7" t="s">
        <v>90</v>
      </c>
      <c r="R3" s="7" t="s">
        <v>91</v>
      </c>
      <c r="S3" s="8" t="s">
        <v>92</v>
      </c>
      <c r="T3" s="12" t="s">
        <v>79</v>
      </c>
    </row>
    <row r="4" spans="1:20" ht="56" x14ac:dyDescent="0.2">
      <c r="A4" s="7" t="s">
        <v>93</v>
      </c>
      <c r="B4" s="7" t="s">
        <v>94</v>
      </c>
      <c r="C4" s="7" t="s">
        <v>64</v>
      </c>
      <c r="D4" s="7" t="s">
        <v>95</v>
      </c>
      <c r="E4" s="7" t="s">
        <v>96</v>
      </c>
      <c r="F4" s="8" t="s">
        <v>97</v>
      </c>
      <c r="G4" s="8" t="s">
        <v>85</v>
      </c>
      <c r="H4" s="7" t="s">
        <v>98</v>
      </c>
      <c r="I4" s="9">
        <v>500</v>
      </c>
      <c r="J4" s="10">
        <f t="shared" si="0"/>
        <v>1</v>
      </c>
      <c r="K4" s="11" t="s">
        <v>70</v>
      </c>
      <c r="L4" s="7" t="s">
        <v>71</v>
      </c>
      <c r="M4" s="7" t="s">
        <v>99</v>
      </c>
      <c r="N4" s="7" t="s">
        <v>100</v>
      </c>
      <c r="O4" s="7" t="s">
        <v>101</v>
      </c>
      <c r="P4" s="7" t="s">
        <v>75</v>
      </c>
      <c r="Q4" s="7" t="s">
        <v>76</v>
      </c>
      <c r="R4" s="7" t="s">
        <v>102</v>
      </c>
      <c r="S4" s="8" t="s">
        <v>78</v>
      </c>
      <c r="T4" s="13" t="s">
        <v>103</v>
      </c>
    </row>
    <row r="5" spans="1:20" ht="56" x14ac:dyDescent="0.2">
      <c r="A5" s="7" t="s">
        <v>104</v>
      </c>
      <c r="B5" s="7" t="s">
        <v>105</v>
      </c>
      <c r="C5" s="7" t="s">
        <v>64</v>
      </c>
      <c r="D5" s="7" t="s">
        <v>106</v>
      </c>
      <c r="E5" s="7" t="s">
        <v>107</v>
      </c>
      <c r="F5" s="8" t="s">
        <v>85</v>
      </c>
      <c r="G5" s="8" t="s">
        <v>68</v>
      </c>
      <c r="H5" s="7" t="s">
        <v>108</v>
      </c>
      <c r="I5" s="14">
        <v>498</v>
      </c>
      <c r="J5" s="10">
        <f t="shared" si="0"/>
        <v>0.996</v>
      </c>
      <c r="K5" s="11" t="s">
        <v>70</v>
      </c>
      <c r="L5" s="26" t="s">
        <v>109</v>
      </c>
      <c r="M5" s="7" t="s">
        <v>87</v>
      </c>
      <c r="N5" s="7" t="s">
        <v>110</v>
      </c>
      <c r="O5" s="7" t="s">
        <v>111</v>
      </c>
      <c r="P5" s="7" t="s">
        <v>75</v>
      </c>
      <c r="Q5" s="7" t="s">
        <v>112</v>
      </c>
      <c r="R5" s="7" t="s">
        <v>113</v>
      </c>
      <c r="S5" s="8" t="s">
        <v>92</v>
      </c>
      <c r="T5" s="12" t="s">
        <v>79</v>
      </c>
    </row>
    <row r="6" spans="1:20" ht="56" x14ac:dyDescent="0.2">
      <c r="A6" s="7" t="s">
        <v>114</v>
      </c>
      <c r="B6" s="7" t="s">
        <v>115</v>
      </c>
      <c r="C6" s="7" t="s">
        <v>64</v>
      </c>
      <c r="D6" s="7" t="s">
        <v>116</v>
      </c>
      <c r="E6" s="7" t="s">
        <v>117</v>
      </c>
      <c r="F6" s="8" t="s">
        <v>118</v>
      </c>
      <c r="G6" s="8" t="s">
        <v>119</v>
      </c>
      <c r="H6" s="7" t="s">
        <v>120</v>
      </c>
      <c r="I6" s="14">
        <v>490</v>
      </c>
      <c r="J6" s="10">
        <f t="shared" si="0"/>
        <v>0.98</v>
      </c>
      <c r="K6" s="11" t="s">
        <v>70</v>
      </c>
      <c r="L6" s="7" t="s">
        <v>109</v>
      </c>
      <c r="M6" s="7" t="s">
        <v>121</v>
      </c>
      <c r="N6" s="7" t="s">
        <v>122</v>
      </c>
      <c r="O6" s="7" t="s">
        <v>123</v>
      </c>
      <c r="P6" s="7" t="s">
        <v>75</v>
      </c>
      <c r="Q6" s="7" t="s">
        <v>124</v>
      </c>
      <c r="R6" s="7" t="s">
        <v>125</v>
      </c>
      <c r="S6" s="8" t="s">
        <v>92</v>
      </c>
      <c r="T6" s="12" t="s">
        <v>79</v>
      </c>
    </row>
    <row r="7" spans="1:20" ht="42" x14ac:dyDescent="0.2">
      <c r="A7" s="7" t="s">
        <v>126</v>
      </c>
      <c r="B7" s="7" t="s">
        <v>127</v>
      </c>
      <c r="C7" s="7" t="s">
        <v>128</v>
      </c>
      <c r="D7" s="7" t="s">
        <v>129</v>
      </c>
      <c r="E7" s="7" t="s">
        <v>130</v>
      </c>
      <c r="F7" s="8" t="s">
        <v>118</v>
      </c>
      <c r="G7" s="8" t="s">
        <v>68</v>
      </c>
      <c r="H7" s="7" t="s">
        <v>131</v>
      </c>
      <c r="I7" s="14">
        <v>500</v>
      </c>
      <c r="J7" s="10">
        <f t="shared" si="0"/>
        <v>1</v>
      </c>
      <c r="K7" s="11" t="s">
        <v>70</v>
      </c>
      <c r="L7" s="7" t="s">
        <v>109</v>
      </c>
      <c r="M7" s="7" t="s">
        <v>132</v>
      </c>
      <c r="N7" s="7" t="s">
        <v>133</v>
      </c>
      <c r="O7" s="7" t="s">
        <v>134</v>
      </c>
      <c r="P7" s="7" t="s">
        <v>135</v>
      </c>
      <c r="Q7" s="7" t="s">
        <v>136</v>
      </c>
      <c r="R7" s="7" t="s">
        <v>137</v>
      </c>
      <c r="S7" s="8" t="s">
        <v>78</v>
      </c>
      <c r="T7" s="13" t="s">
        <v>103</v>
      </c>
    </row>
    <row r="8" spans="1:20" ht="42" x14ac:dyDescent="0.2">
      <c r="A8" s="7" t="s">
        <v>138</v>
      </c>
      <c r="B8" s="7" t="s">
        <v>139</v>
      </c>
      <c r="C8" s="7" t="s">
        <v>140</v>
      </c>
      <c r="D8" s="7" t="s">
        <v>141</v>
      </c>
      <c r="E8" s="7" t="s">
        <v>142</v>
      </c>
      <c r="F8" s="8" t="s">
        <v>118</v>
      </c>
      <c r="G8" s="8" t="s">
        <v>97</v>
      </c>
      <c r="H8" s="7" t="s">
        <v>143</v>
      </c>
      <c r="I8" s="14">
        <v>500</v>
      </c>
      <c r="J8" s="10">
        <f t="shared" si="0"/>
        <v>1</v>
      </c>
      <c r="K8" s="11" t="s">
        <v>70</v>
      </c>
      <c r="L8" s="7" t="s">
        <v>109</v>
      </c>
      <c r="M8" s="7" t="s">
        <v>144</v>
      </c>
      <c r="N8" s="7" t="s">
        <v>145</v>
      </c>
      <c r="O8" s="7" t="s">
        <v>146</v>
      </c>
      <c r="P8" s="7" t="s">
        <v>135</v>
      </c>
      <c r="Q8" s="7" t="s">
        <v>147</v>
      </c>
      <c r="R8" s="7" t="s">
        <v>148</v>
      </c>
      <c r="S8" s="8" t="s">
        <v>78</v>
      </c>
      <c r="T8" s="12" t="s">
        <v>79</v>
      </c>
    </row>
    <row r="9" spans="1:20" ht="56" x14ac:dyDescent="0.2">
      <c r="A9" s="7" t="s">
        <v>149</v>
      </c>
      <c r="B9" s="7" t="s">
        <v>150</v>
      </c>
      <c r="C9" s="7" t="s">
        <v>151</v>
      </c>
      <c r="D9" s="7" t="s">
        <v>152</v>
      </c>
      <c r="E9" s="7" t="s">
        <v>153</v>
      </c>
      <c r="F9" s="8" t="s">
        <v>67</v>
      </c>
      <c r="G9" s="8" t="s">
        <v>68</v>
      </c>
      <c r="H9" s="7" t="s">
        <v>154</v>
      </c>
      <c r="I9" s="9">
        <v>500</v>
      </c>
      <c r="J9" s="10">
        <f t="shared" si="0"/>
        <v>1</v>
      </c>
      <c r="K9" s="11" t="s">
        <v>70</v>
      </c>
      <c r="L9" s="7" t="s">
        <v>71</v>
      </c>
      <c r="M9" s="7" t="s">
        <v>155</v>
      </c>
      <c r="N9" s="7" t="s">
        <v>156</v>
      </c>
      <c r="O9" s="7" t="s">
        <v>157</v>
      </c>
      <c r="P9" s="7" t="s">
        <v>135</v>
      </c>
      <c r="Q9" s="7" t="s">
        <v>158</v>
      </c>
      <c r="R9" s="7" t="s">
        <v>159</v>
      </c>
      <c r="S9" s="8" t="s">
        <v>78</v>
      </c>
      <c r="T9" s="12" t="s">
        <v>79</v>
      </c>
    </row>
    <row r="10" spans="1:20" ht="70" hidden="1" x14ac:dyDescent="0.2">
      <c r="A10" s="7" t="s">
        <v>160</v>
      </c>
      <c r="B10" s="7" t="s">
        <v>161</v>
      </c>
      <c r="C10" s="7" t="s">
        <v>162</v>
      </c>
      <c r="D10" s="7" t="s">
        <v>163</v>
      </c>
      <c r="E10" s="7" t="s">
        <v>164</v>
      </c>
      <c r="F10" s="8" t="s">
        <v>97</v>
      </c>
      <c r="G10" s="8" t="s">
        <v>85</v>
      </c>
      <c r="H10" s="7" t="s">
        <v>165</v>
      </c>
      <c r="I10" s="9">
        <v>275</v>
      </c>
      <c r="J10" s="10">
        <f t="shared" si="0"/>
        <v>0.55000000000000004</v>
      </c>
      <c r="K10" s="15" t="s">
        <v>166</v>
      </c>
      <c r="L10" s="7" t="s">
        <v>167</v>
      </c>
      <c r="M10" s="7" t="s">
        <v>168</v>
      </c>
      <c r="N10" s="7" t="s">
        <v>169</v>
      </c>
      <c r="O10" s="7" t="s">
        <v>170</v>
      </c>
      <c r="P10" s="7" t="s">
        <v>135</v>
      </c>
      <c r="Q10" s="7" t="s">
        <v>171</v>
      </c>
      <c r="R10" s="7" t="s">
        <v>172</v>
      </c>
      <c r="S10" s="8" t="s">
        <v>78</v>
      </c>
      <c r="T10" s="12" t="s">
        <v>79</v>
      </c>
    </row>
    <row r="11" spans="1:20" ht="56" hidden="1" x14ac:dyDescent="0.2">
      <c r="A11" s="7" t="s">
        <v>173</v>
      </c>
      <c r="B11" s="7" t="s">
        <v>174</v>
      </c>
      <c r="C11" s="7" t="s">
        <v>175</v>
      </c>
      <c r="D11" s="7" t="s">
        <v>176</v>
      </c>
      <c r="E11" s="7" t="s">
        <v>177</v>
      </c>
      <c r="F11" s="8" t="s">
        <v>119</v>
      </c>
      <c r="G11" s="8" t="s">
        <v>97</v>
      </c>
      <c r="H11" s="7" t="s">
        <v>178</v>
      </c>
      <c r="I11" s="14">
        <v>400</v>
      </c>
      <c r="J11" s="10">
        <f t="shared" si="0"/>
        <v>0.8</v>
      </c>
      <c r="K11" s="15" t="s">
        <v>166</v>
      </c>
      <c r="L11" s="7" t="s">
        <v>109</v>
      </c>
      <c r="M11" s="7" t="s">
        <v>179</v>
      </c>
      <c r="N11" s="7" t="s">
        <v>180</v>
      </c>
      <c r="O11" s="7" t="s">
        <v>181</v>
      </c>
      <c r="P11" s="7" t="s">
        <v>135</v>
      </c>
      <c r="Q11" s="7" t="s">
        <v>182</v>
      </c>
      <c r="R11" s="7" t="s">
        <v>183</v>
      </c>
      <c r="S11" s="8" t="s">
        <v>184</v>
      </c>
      <c r="T11" s="13" t="s">
        <v>103</v>
      </c>
    </row>
    <row r="12" spans="1:20" ht="70" hidden="1" x14ac:dyDescent="0.2">
      <c r="A12" s="7" t="s">
        <v>185</v>
      </c>
      <c r="B12" s="7" t="s">
        <v>186</v>
      </c>
      <c r="C12" s="7" t="s">
        <v>187</v>
      </c>
      <c r="D12" s="7" t="s">
        <v>188</v>
      </c>
      <c r="E12" s="7" t="s">
        <v>189</v>
      </c>
      <c r="F12" s="8" t="s">
        <v>85</v>
      </c>
      <c r="G12" s="8" t="s">
        <v>119</v>
      </c>
      <c r="H12" s="7" t="s">
        <v>190</v>
      </c>
      <c r="I12" s="14">
        <v>400</v>
      </c>
      <c r="J12" s="10">
        <f t="shared" si="0"/>
        <v>0.8</v>
      </c>
      <c r="K12" s="15" t="s">
        <v>166</v>
      </c>
      <c r="L12" s="7" t="s">
        <v>109</v>
      </c>
      <c r="M12" s="7" t="s">
        <v>191</v>
      </c>
      <c r="N12" s="7" t="s">
        <v>192</v>
      </c>
      <c r="O12" s="7" t="s">
        <v>193</v>
      </c>
      <c r="P12" s="7" t="s">
        <v>194</v>
      </c>
      <c r="Q12" s="7" t="s">
        <v>195</v>
      </c>
      <c r="R12" s="7" t="s">
        <v>196</v>
      </c>
      <c r="S12" s="8" t="s">
        <v>92</v>
      </c>
      <c r="T12" s="13" t="s">
        <v>103</v>
      </c>
    </row>
    <row r="13" spans="1:20" ht="56" hidden="1" x14ac:dyDescent="0.2">
      <c r="A13" s="7" t="s">
        <v>197</v>
      </c>
      <c r="B13" s="7" t="s">
        <v>198</v>
      </c>
      <c r="C13" s="7" t="s">
        <v>199</v>
      </c>
      <c r="D13" s="7" t="s">
        <v>200</v>
      </c>
      <c r="E13" s="7" t="s">
        <v>201</v>
      </c>
      <c r="F13" s="8" t="s">
        <v>97</v>
      </c>
      <c r="G13" s="8" t="s">
        <v>85</v>
      </c>
      <c r="H13" s="7" t="s">
        <v>202</v>
      </c>
      <c r="I13" s="14">
        <v>350</v>
      </c>
      <c r="J13" s="10">
        <f t="shared" si="0"/>
        <v>0.7</v>
      </c>
      <c r="K13" s="15" t="s">
        <v>166</v>
      </c>
      <c r="L13" s="7" t="s">
        <v>109</v>
      </c>
      <c r="M13" s="7" t="s">
        <v>203</v>
      </c>
      <c r="N13" s="7" t="s">
        <v>133</v>
      </c>
      <c r="O13" s="7" t="s">
        <v>204</v>
      </c>
      <c r="P13" s="7" t="s">
        <v>205</v>
      </c>
      <c r="Q13" s="7" t="s">
        <v>206</v>
      </c>
      <c r="R13" s="7" t="s">
        <v>207</v>
      </c>
      <c r="S13" s="8" t="s">
        <v>92</v>
      </c>
      <c r="T13" s="16" t="s">
        <v>208</v>
      </c>
    </row>
    <row r="14" spans="1:20" ht="56" hidden="1" x14ac:dyDescent="0.2">
      <c r="A14" s="7" t="s">
        <v>209</v>
      </c>
      <c r="B14" s="7" t="s">
        <v>210</v>
      </c>
      <c r="C14" s="7" t="s">
        <v>211</v>
      </c>
      <c r="D14" s="7" t="s">
        <v>212</v>
      </c>
      <c r="E14" s="7" t="s">
        <v>213</v>
      </c>
      <c r="F14" s="8" t="s">
        <v>119</v>
      </c>
      <c r="G14" s="8" t="s">
        <v>85</v>
      </c>
      <c r="H14" s="7" t="s">
        <v>214</v>
      </c>
      <c r="I14" s="14">
        <v>400</v>
      </c>
      <c r="J14" s="10">
        <f t="shared" si="0"/>
        <v>0.8</v>
      </c>
      <c r="K14" s="15" t="s">
        <v>166</v>
      </c>
      <c r="L14" s="7" t="s">
        <v>109</v>
      </c>
      <c r="M14" s="7" t="s">
        <v>215</v>
      </c>
      <c r="N14" s="7" t="s">
        <v>100</v>
      </c>
      <c r="O14" s="7" t="s">
        <v>216</v>
      </c>
      <c r="P14" s="7" t="s">
        <v>217</v>
      </c>
      <c r="Q14" s="7" t="s">
        <v>218</v>
      </c>
      <c r="R14" s="7" t="s">
        <v>219</v>
      </c>
      <c r="S14" s="8" t="s">
        <v>78</v>
      </c>
      <c r="T14" s="16" t="s">
        <v>208</v>
      </c>
    </row>
    <row r="15" spans="1:20" ht="56" hidden="1" x14ac:dyDescent="0.2">
      <c r="A15" s="7" t="s">
        <v>220</v>
      </c>
      <c r="B15" s="7" t="s">
        <v>221</v>
      </c>
      <c r="C15" s="7" t="s">
        <v>222</v>
      </c>
      <c r="D15" s="7" t="s">
        <v>223</v>
      </c>
      <c r="E15" s="7" t="s">
        <v>224</v>
      </c>
      <c r="F15" s="8" t="s">
        <v>118</v>
      </c>
      <c r="G15" s="8" t="s">
        <v>68</v>
      </c>
      <c r="H15" s="7" t="s">
        <v>225</v>
      </c>
      <c r="I15" s="14">
        <v>450</v>
      </c>
      <c r="J15" s="10">
        <f t="shared" si="0"/>
        <v>0.9</v>
      </c>
      <c r="K15" s="15" t="s">
        <v>166</v>
      </c>
      <c r="L15" s="7" t="s">
        <v>109</v>
      </c>
      <c r="M15" s="7" t="s">
        <v>226</v>
      </c>
      <c r="N15" s="7" t="s">
        <v>227</v>
      </c>
      <c r="O15" s="7" t="s">
        <v>228</v>
      </c>
      <c r="P15" s="7" t="s">
        <v>229</v>
      </c>
      <c r="Q15" s="7" t="s">
        <v>230</v>
      </c>
      <c r="R15" s="7" t="s">
        <v>231</v>
      </c>
      <c r="S15" s="8" t="s">
        <v>78</v>
      </c>
      <c r="T15" s="17" t="s">
        <v>232</v>
      </c>
    </row>
    <row r="16" spans="1:20" ht="84" hidden="1" x14ac:dyDescent="0.2">
      <c r="A16" s="7" t="s">
        <v>233</v>
      </c>
      <c r="B16" s="7" t="s">
        <v>234</v>
      </c>
      <c r="C16" s="7" t="s">
        <v>235</v>
      </c>
      <c r="D16" s="7" t="s">
        <v>236</v>
      </c>
      <c r="E16" s="7" t="s">
        <v>237</v>
      </c>
      <c r="F16" s="8" t="s">
        <v>119</v>
      </c>
      <c r="G16" s="8" t="s">
        <v>97</v>
      </c>
      <c r="H16" s="7" t="s">
        <v>238</v>
      </c>
      <c r="I16" s="9">
        <v>69</v>
      </c>
      <c r="J16" s="10">
        <f t="shared" si="0"/>
        <v>0.13800000000000001</v>
      </c>
      <c r="K16" s="18" t="s">
        <v>239</v>
      </c>
      <c r="L16" s="7" t="s">
        <v>240</v>
      </c>
      <c r="M16" s="7" t="s">
        <v>241</v>
      </c>
      <c r="N16" s="7" t="s">
        <v>242</v>
      </c>
      <c r="O16" s="7" t="s">
        <v>243</v>
      </c>
      <c r="P16" s="7" t="s">
        <v>135</v>
      </c>
      <c r="Q16" s="7" t="s">
        <v>244</v>
      </c>
      <c r="R16" s="7" t="s">
        <v>245</v>
      </c>
      <c r="S16" s="8" t="s">
        <v>92</v>
      </c>
      <c r="T16" s="12" t="s">
        <v>79</v>
      </c>
    </row>
    <row r="17" spans="1:20" ht="56" hidden="1" x14ac:dyDescent="0.2">
      <c r="A17" s="7" t="s">
        <v>246</v>
      </c>
      <c r="B17" s="7" t="s">
        <v>247</v>
      </c>
      <c r="C17" s="7" t="s">
        <v>235</v>
      </c>
      <c r="D17" s="7" t="s">
        <v>248</v>
      </c>
      <c r="E17" s="7" t="s">
        <v>249</v>
      </c>
      <c r="F17" s="8" t="s">
        <v>119</v>
      </c>
      <c r="G17" s="8" t="s">
        <v>68</v>
      </c>
      <c r="H17" s="7" t="s">
        <v>250</v>
      </c>
      <c r="I17" s="14">
        <v>120</v>
      </c>
      <c r="J17" s="10">
        <f t="shared" si="0"/>
        <v>0.24</v>
      </c>
      <c r="K17" s="18" t="s">
        <v>239</v>
      </c>
      <c r="L17" s="7" t="s">
        <v>109</v>
      </c>
      <c r="M17" s="7" t="s">
        <v>251</v>
      </c>
      <c r="N17" s="7" t="s">
        <v>133</v>
      </c>
      <c r="O17" s="7" t="s">
        <v>252</v>
      </c>
      <c r="P17" s="7" t="s">
        <v>135</v>
      </c>
      <c r="Q17" s="7" t="s">
        <v>136</v>
      </c>
      <c r="R17" s="7" t="s">
        <v>253</v>
      </c>
      <c r="S17" s="8" t="s">
        <v>92</v>
      </c>
      <c r="T17" s="13" t="s">
        <v>103</v>
      </c>
    </row>
    <row r="18" spans="1:20" ht="42" hidden="1" x14ac:dyDescent="0.2">
      <c r="A18" s="7" t="s">
        <v>254</v>
      </c>
      <c r="B18" s="7" t="s">
        <v>255</v>
      </c>
      <c r="C18" s="7" t="s">
        <v>235</v>
      </c>
      <c r="D18" s="7" t="s">
        <v>256</v>
      </c>
      <c r="E18" s="7" t="s">
        <v>257</v>
      </c>
      <c r="F18" s="8" t="s">
        <v>119</v>
      </c>
      <c r="G18" s="8" t="s">
        <v>68</v>
      </c>
      <c r="H18" s="7" t="s">
        <v>258</v>
      </c>
      <c r="I18" s="14">
        <v>120</v>
      </c>
      <c r="J18" s="10">
        <f t="shared" si="0"/>
        <v>0.24</v>
      </c>
      <c r="K18" s="18" t="s">
        <v>239</v>
      </c>
      <c r="L18" s="7" t="s">
        <v>109</v>
      </c>
      <c r="M18" s="7" t="s">
        <v>259</v>
      </c>
      <c r="N18" s="7" t="s">
        <v>169</v>
      </c>
      <c r="O18" s="7" t="s">
        <v>260</v>
      </c>
      <c r="P18" s="7" t="s">
        <v>135</v>
      </c>
      <c r="Q18" s="7" t="s">
        <v>261</v>
      </c>
      <c r="R18" s="7" t="s">
        <v>262</v>
      </c>
      <c r="S18" s="8" t="s">
        <v>92</v>
      </c>
      <c r="T18" s="13" t="s">
        <v>103</v>
      </c>
    </row>
    <row r="19" spans="1:20" ht="56" hidden="1" x14ac:dyDescent="0.2">
      <c r="A19" s="7" t="s">
        <v>263</v>
      </c>
      <c r="B19" s="7" t="s">
        <v>264</v>
      </c>
      <c r="C19" s="7" t="s">
        <v>235</v>
      </c>
      <c r="D19" s="7" t="s">
        <v>265</v>
      </c>
      <c r="E19" s="7" t="s">
        <v>266</v>
      </c>
      <c r="F19" s="8" t="s">
        <v>85</v>
      </c>
      <c r="G19" s="8" t="s">
        <v>119</v>
      </c>
      <c r="H19" s="7" t="s">
        <v>267</v>
      </c>
      <c r="I19" s="14">
        <v>200</v>
      </c>
      <c r="J19" s="10">
        <f t="shared" si="0"/>
        <v>0.4</v>
      </c>
      <c r="K19" s="18" t="s">
        <v>239</v>
      </c>
      <c r="L19" s="7" t="s">
        <v>109</v>
      </c>
      <c r="M19" s="7" t="s">
        <v>268</v>
      </c>
      <c r="N19" s="7" t="s">
        <v>133</v>
      </c>
      <c r="O19" s="7" t="s">
        <v>269</v>
      </c>
      <c r="P19" s="7" t="s">
        <v>135</v>
      </c>
      <c r="Q19" s="7" t="s">
        <v>136</v>
      </c>
      <c r="R19" s="7" t="s">
        <v>270</v>
      </c>
      <c r="S19" s="8" t="s">
        <v>78</v>
      </c>
      <c r="T19" s="13" t="s">
        <v>103</v>
      </c>
    </row>
    <row r="20" spans="1:20" ht="70" hidden="1" x14ac:dyDescent="0.2">
      <c r="A20" s="7" t="s">
        <v>271</v>
      </c>
      <c r="B20" s="7" t="s">
        <v>272</v>
      </c>
      <c r="C20" s="7" t="s">
        <v>235</v>
      </c>
      <c r="D20" s="7" t="s">
        <v>273</v>
      </c>
      <c r="E20" s="7" t="s">
        <v>274</v>
      </c>
      <c r="F20" s="8" t="s">
        <v>119</v>
      </c>
      <c r="G20" s="8" t="s">
        <v>68</v>
      </c>
      <c r="H20" s="7" t="s">
        <v>275</v>
      </c>
      <c r="I20" s="14">
        <v>150</v>
      </c>
      <c r="J20" s="10">
        <f t="shared" si="0"/>
        <v>0.3</v>
      </c>
      <c r="K20" s="18" t="s">
        <v>239</v>
      </c>
      <c r="L20" s="7" t="s">
        <v>109</v>
      </c>
      <c r="M20" s="7" t="s">
        <v>276</v>
      </c>
      <c r="N20" s="7" t="s">
        <v>169</v>
      </c>
      <c r="O20" s="7" t="s">
        <v>277</v>
      </c>
      <c r="P20" s="7" t="s">
        <v>135</v>
      </c>
      <c r="Q20" s="7" t="s">
        <v>278</v>
      </c>
      <c r="R20" s="7" t="s">
        <v>279</v>
      </c>
      <c r="S20" s="8" t="s">
        <v>78</v>
      </c>
      <c r="T20" s="13" t="s">
        <v>103</v>
      </c>
    </row>
    <row r="21" spans="1:20" ht="56" hidden="1" x14ac:dyDescent="0.2">
      <c r="A21" s="7" t="s">
        <v>280</v>
      </c>
      <c r="B21" s="7" t="s">
        <v>281</v>
      </c>
      <c r="C21" s="7" t="s">
        <v>282</v>
      </c>
      <c r="D21" s="7" t="s">
        <v>283</v>
      </c>
      <c r="E21" s="7" t="s">
        <v>284</v>
      </c>
      <c r="F21" s="8" t="s">
        <v>119</v>
      </c>
      <c r="G21" s="8" t="s">
        <v>97</v>
      </c>
      <c r="H21" s="7" t="s">
        <v>285</v>
      </c>
      <c r="I21" s="14">
        <v>32</v>
      </c>
      <c r="J21" s="10">
        <f t="shared" si="0"/>
        <v>6.4000000000000001E-2</v>
      </c>
      <c r="K21" s="18" t="s">
        <v>239</v>
      </c>
      <c r="L21" s="7" t="s">
        <v>109</v>
      </c>
      <c r="M21" s="7" t="s">
        <v>286</v>
      </c>
      <c r="N21" s="7" t="s">
        <v>133</v>
      </c>
      <c r="O21" s="7" t="s">
        <v>287</v>
      </c>
      <c r="P21" s="7" t="s">
        <v>205</v>
      </c>
      <c r="Q21" s="7" t="s">
        <v>136</v>
      </c>
      <c r="R21" s="7" t="s">
        <v>288</v>
      </c>
      <c r="S21" s="8" t="s">
        <v>92</v>
      </c>
      <c r="T21" s="13" t="s">
        <v>103</v>
      </c>
    </row>
    <row r="22" spans="1:20" ht="56" hidden="1" x14ac:dyDescent="0.2">
      <c r="A22" s="7" t="s">
        <v>289</v>
      </c>
      <c r="B22" s="7" t="s">
        <v>290</v>
      </c>
      <c r="C22" s="7" t="s">
        <v>235</v>
      </c>
      <c r="D22" s="7" t="s">
        <v>291</v>
      </c>
      <c r="E22" s="7" t="s">
        <v>292</v>
      </c>
      <c r="F22" s="8" t="s">
        <v>119</v>
      </c>
      <c r="G22" s="8" t="s">
        <v>68</v>
      </c>
      <c r="H22" s="7" t="s">
        <v>293</v>
      </c>
      <c r="I22" s="14">
        <v>70</v>
      </c>
      <c r="J22" s="10">
        <f t="shared" si="0"/>
        <v>0.14000000000000001</v>
      </c>
      <c r="K22" s="18" t="s">
        <v>239</v>
      </c>
      <c r="L22" s="7" t="s">
        <v>109</v>
      </c>
      <c r="M22" s="7" t="s">
        <v>276</v>
      </c>
      <c r="N22" s="7" t="s">
        <v>169</v>
      </c>
      <c r="O22" s="7" t="s">
        <v>294</v>
      </c>
      <c r="P22" s="7" t="s">
        <v>135</v>
      </c>
      <c r="Q22" s="7" t="s">
        <v>295</v>
      </c>
      <c r="R22" s="7" t="s">
        <v>296</v>
      </c>
      <c r="S22" s="8" t="s">
        <v>78</v>
      </c>
      <c r="T22" s="16" t="s">
        <v>208</v>
      </c>
    </row>
    <row r="23" spans="1:20" ht="70" hidden="1" x14ac:dyDescent="0.2">
      <c r="A23" s="7" t="s">
        <v>297</v>
      </c>
      <c r="B23" s="7" t="s">
        <v>298</v>
      </c>
      <c r="C23" s="7" t="s">
        <v>299</v>
      </c>
      <c r="D23" s="7" t="s">
        <v>300</v>
      </c>
      <c r="E23" s="7" t="s">
        <v>301</v>
      </c>
      <c r="F23" s="8" t="s">
        <v>119</v>
      </c>
      <c r="G23" s="8" t="s">
        <v>68</v>
      </c>
      <c r="H23" s="7" t="s">
        <v>302</v>
      </c>
      <c r="I23" s="14">
        <v>100</v>
      </c>
      <c r="J23" s="10">
        <f t="shared" si="0"/>
        <v>0.2</v>
      </c>
      <c r="K23" s="18" t="s">
        <v>239</v>
      </c>
      <c r="L23" s="7" t="s">
        <v>109</v>
      </c>
      <c r="M23" s="7" t="s">
        <v>268</v>
      </c>
      <c r="N23" s="7" t="s">
        <v>100</v>
      </c>
      <c r="O23" s="7" t="s">
        <v>303</v>
      </c>
      <c r="P23" s="7" t="s">
        <v>135</v>
      </c>
      <c r="Q23" s="7" t="s">
        <v>136</v>
      </c>
      <c r="R23" s="7" t="s">
        <v>304</v>
      </c>
      <c r="S23" s="8" t="s">
        <v>184</v>
      </c>
      <c r="T23" s="16" t="s">
        <v>208</v>
      </c>
    </row>
    <row r="24" spans="1:20" ht="56" hidden="1" x14ac:dyDescent="0.2">
      <c r="A24" s="7" t="s">
        <v>305</v>
      </c>
      <c r="B24" s="7" t="s">
        <v>306</v>
      </c>
      <c r="C24" s="7" t="s">
        <v>307</v>
      </c>
      <c r="D24" s="7" t="s">
        <v>308</v>
      </c>
      <c r="E24" s="7" t="s">
        <v>309</v>
      </c>
      <c r="F24" s="8" t="s">
        <v>97</v>
      </c>
      <c r="G24" s="8" t="s">
        <v>119</v>
      </c>
      <c r="H24" s="7" t="s">
        <v>310</v>
      </c>
      <c r="I24" s="14">
        <v>40</v>
      </c>
      <c r="J24" s="10">
        <f t="shared" si="0"/>
        <v>0.08</v>
      </c>
      <c r="K24" s="18" t="s">
        <v>239</v>
      </c>
      <c r="L24" s="7" t="s">
        <v>109</v>
      </c>
      <c r="M24" s="7" t="s">
        <v>276</v>
      </c>
      <c r="N24" s="7" t="s">
        <v>169</v>
      </c>
      <c r="O24" s="7" t="s">
        <v>311</v>
      </c>
      <c r="P24" s="7" t="s">
        <v>312</v>
      </c>
      <c r="Q24" s="7" t="s">
        <v>278</v>
      </c>
      <c r="R24" s="7" t="s">
        <v>313</v>
      </c>
      <c r="S24" s="8" t="s">
        <v>92</v>
      </c>
      <c r="T24" s="16" t="s">
        <v>208</v>
      </c>
    </row>
    <row r="25" spans="1:20" ht="70" hidden="1" x14ac:dyDescent="0.2">
      <c r="A25" s="7" t="s">
        <v>314</v>
      </c>
      <c r="B25" s="7" t="s">
        <v>315</v>
      </c>
      <c r="C25" s="7" t="s">
        <v>316</v>
      </c>
      <c r="D25" s="7" t="s">
        <v>317</v>
      </c>
      <c r="E25" s="7" t="s">
        <v>318</v>
      </c>
      <c r="F25" s="8" t="s">
        <v>97</v>
      </c>
      <c r="G25" s="8" t="s">
        <v>68</v>
      </c>
      <c r="H25" s="7" t="s">
        <v>319</v>
      </c>
      <c r="I25" s="14">
        <v>180</v>
      </c>
      <c r="J25" s="10">
        <f t="shared" si="0"/>
        <v>0.36</v>
      </c>
      <c r="K25" s="18" t="s">
        <v>239</v>
      </c>
      <c r="L25" s="7" t="s">
        <v>109</v>
      </c>
      <c r="M25" s="7" t="s">
        <v>268</v>
      </c>
      <c r="N25" s="7" t="s">
        <v>133</v>
      </c>
      <c r="O25" s="7" t="s">
        <v>320</v>
      </c>
      <c r="P25" s="7" t="s">
        <v>205</v>
      </c>
      <c r="Q25" s="7" t="s">
        <v>76</v>
      </c>
      <c r="R25" s="7" t="s">
        <v>321</v>
      </c>
      <c r="S25" s="8" t="s">
        <v>92</v>
      </c>
      <c r="T25" s="13" t="s">
        <v>103</v>
      </c>
    </row>
    <row r="26" spans="1:20" ht="56" hidden="1" x14ac:dyDescent="0.2">
      <c r="A26" s="7" t="s">
        <v>322</v>
      </c>
      <c r="B26" s="7" t="s">
        <v>323</v>
      </c>
      <c r="C26" s="7" t="s">
        <v>324</v>
      </c>
      <c r="D26" s="7" t="s">
        <v>325</v>
      </c>
      <c r="E26" s="7" t="s">
        <v>326</v>
      </c>
      <c r="F26" s="8" t="s">
        <v>97</v>
      </c>
      <c r="G26" s="8" t="s">
        <v>68</v>
      </c>
      <c r="H26" s="7" t="s">
        <v>327</v>
      </c>
      <c r="I26" s="14">
        <v>120</v>
      </c>
      <c r="J26" s="10">
        <f t="shared" si="0"/>
        <v>0.24</v>
      </c>
      <c r="K26" s="18" t="s">
        <v>239</v>
      </c>
      <c r="L26" s="7" t="s">
        <v>109</v>
      </c>
      <c r="M26" s="7" t="s">
        <v>268</v>
      </c>
      <c r="N26" s="7" t="s">
        <v>100</v>
      </c>
      <c r="O26" s="7" t="s">
        <v>328</v>
      </c>
      <c r="P26" s="7" t="s">
        <v>135</v>
      </c>
      <c r="Q26" s="7" t="s">
        <v>76</v>
      </c>
      <c r="R26" s="7" t="s">
        <v>329</v>
      </c>
      <c r="S26" s="8" t="s">
        <v>92</v>
      </c>
      <c r="T26" s="16" t="s">
        <v>208</v>
      </c>
    </row>
    <row r="27" spans="1:20" ht="56" hidden="1" x14ac:dyDescent="0.2">
      <c r="A27" s="7" t="s">
        <v>330</v>
      </c>
      <c r="B27" s="7" t="s">
        <v>331</v>
      </c>
      <c r="C27" s="7" t="s">
        <v>332</v>
      </c>
      <c r="D27" s="7" t="s">
        <v>333</v>
      </c>
      <c r="E27" s="7" t="s">
        <v>334</v>
      </c>
      <c r="F27" s="8" t="s">
        <v>119</v>
      </c>
      <c r="G27" s="8" t="s">
        <v>97</v>
      </c>
      <c r="H27" s="7" t="s">
        <v>335</v>
      </c>
      <c r="I27" s="14">
        <v>150</v>
      </c>
      <c r="J27" s="10">
        <f t="shared" si="0"/>
        <v>0.3</v>
      </c>
      <c r="K27" s="18" t="s">
        <v>239</v>
      </c>
      <c r="L27" s="7" t="s">
        <v>109</v>
      </c>
      <c r="M27" s="7" t="s">
        <v>336</v>
      </c>
      <c r="N27" s="7" t="s">
        <v>337</v>
      </c>
      <c r="O27" s="7" t="s">
        <v>338</v>
      </c>
      <c r="P27" s="7" t="s">
        <v>135</v>
      </c>
      <c r="Q27" s="7" t="s">
        <v>339</v>
      </c>
      <c r="R27" s="7" t="s">
        <v>340</v>
      </c>
      <c r="S27" s="8" t="s">
        <v>184</v>
      </c>
      <c r="T27" s="16" t="s">
        <v>208</v>
      </c>
    </row>
    <row r="28" spans="1:20" ht="56" hidden="1" x14ac:dyDescent="0.2">
      <c r="A28" s="7" t="s">
        <v>341</v>
      </c>
      <c r="B28" s="7" t="s">
        <v>342</v>
      </c>
      <c r="C28" s="7" t="s">
        <v>343</v>
      </c>
      <c r="D28" s="7" t="s">
        <v>344</v>
      </c>
      <c r="E28" s="7" t="s">
        <v>345</v>
      </c>
      <c r="F28" s="8" t="s">
        <v>97</v>
      </c>
      <c r="G28" s="8" t="s">
        <v>119</v>
      </c>
      <c r="H28" s="7" t="s">
        <v>346</v>
      </c>
      <c r="I28" s="14">
        <v>150</v>
      </c>
      <c r="J28" s="10">
        <f t="shared" si="0"/>
        <v>0.3</v>
      </c>
      <c r="K28" s="18" t="s">
        <v>239</v>
      </c>
      <c r="L28" s="7" t="s">
        <v>109</v>
      </c>
      <c r="M28" s="7" t="s">
        <v>276</v>
      </c>
      <c r="N28" s="7" t="s">
        <v>347</v>
      </c>
      <c r="O28" s="7" t="s">
        <v>348</v>
      </c>
      <c r="P28" s="7" t="s">
        <v>135</v>
      </c>
      <c r="Q28" s="7" t="s">
        <v>349</v>
      </c>
      <c r="R28" s="7" t="s">
        <v>350</v>
      </c>
      <c r="S28" s="8" t="s">
        <v>92</v>
      </c>
      <c r="T28" s="16" t="s">
        <v>208</v>
      </c>
    </row>
    <row r="29" spans="1:20" ht="56" hidden="1" x14ac:dyDescent="0.2">
      <c r="A29" s="7" t="s">
        <v>351</v>
      </c>
      <c r="B29" s="7" t="s">
        <v>352</v>
      </c>
      <c r="C29" s="7" t="s">
        <v>353</v>
      </c>
      <c r="D29" s="7" t="s">
        <v>354</v>
      </c>
      <c r="E29" s="7" t="s">
        <v>355</v>
      </c>
      <c r="F29" s="8" t="s">
        <v>85</v>
      </c>
      <c r="G29" s="8" t="s">
        <v>68</v>
      </c>
      <c r="H29" s="7" t="s">
        <v>356</v>
      </c>
      <c r="I29" s="14">
        <v>250</v>
      </c>
      <c r="J29" s="10">
        <f t="shared" si="0"/>
        <v>0.5</v>
      </c>
      <c r="K29" s="18" t="s">
        <v>239</v>
      </c>
      <c r="L29" s="7" t="s">
        <v>109</v>
      </c>
      <c r="M29" s="7" t="s">
        <v>259</v>
      </c>
      <c r="N29" s="7" t="s">
        <v>169</v>
      </c>
      <c r="O29" s="7" t="s">
        <v>357</v>
      </c>
      <c r="P29" s="7" t="s">
        <v>135</v>
      </c>
      <c r="Q29" s="7" t="s">
        <v>230</v>
      </c>
      <c r="R29" s="7" t="s">
        <v>358</v>
      </c>
      <c r="S29" s="8" t="s">
        <v>78</v>
      </c>
      <c r="T29" s="16" t="s">
        <v>208</v>
      </c>
    </row>
    <row r="30" spans="1:20" ht="56" hidden="1" x14ac:dyDescent="0.2">
      <c r="A30" s="7" t="s">
        <v>359</v>
      </c>
      <c r="B30" s="7" t="s">
        <v>360</v>
      </c>
      <c r="C30" s="7" t="s">
        <v>361</v>
      </c>
      <c r="D30" s="7" t="s">
        <v>362</v>
      </c>
      <c r="E30" s="7" t="s">
        <v>363</v>
      </c>
      <c r="F30" s="8" t="s">
        <v>85</v>
      </c>
      <c r="G30" s="8" t="s">
        <v>68</v>
      </c>
      <c r="H30" s="7" t="s">
        <v>364</v>
      </c>
      <c r="I30" s="14">
        <v>150</v>
      </c>
      <c r="J30" s="10">
        <f t="shared" si="0"/>
        <v>0.3</v>
      </c>
      <c r="K30" s="18" t="s">
        <v>239</v>
      </c>
      <c r="L30" s="7" t="s">
        <v>109</v>
      </c>
      <c r="M30" s="7" t="s">
        <v>365</v>
      </c>
      <c r="N30" s="7" t="s">
        <v>192</v>
      </c>
      <c r="O30" s="7" t="s">
        <v>366</v>
      </c>
      <c r="P30" s="7" t="s">
        <v>135</v>
      </c>
      <c r="Q30" s="7" t="s">
        <v>112</v>
      </c>
      <c r="R30" s="7" t="s">
        <v>367</v>
      </c>
      <c r="S30" s="8" t="s">
        <v>78</v>
      </c>
      <c r="T30" s="16" t="s">
        <v>208</v>
      </c>
    </row>
  </sheetData>
  <autoFilter ref="A1:T30" xr:uid="{00000000-0009-0000-0000-000001000000}">
    <filterColumn colId="10">
      <filters>
        <filter val="1 - Universal"/>
      </filters>
    </filterColumn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16"/>
  <sheetViews>
    <sheetView tabSelected="1" zoomScale="142" zoomScaleNormal="10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baseColWidth="10" defaultColWidth="8.6640625" defaultRowHeight="15" x14ac:dyDescent="0.2"/>
  <cols>
    <col min="1" max="1" width="34" customWidth="1"/>
    <col min="2" max="2" width="22" customWidth="1"/>
    <col min="3" max="3" width="30" customWidth="1"/>
    <col min="4" max="4" width="44" customWidth="1"/>
    <col min="5" max="5" width="56" customWidth="1"/>
    <col min="6" max="6" width="16" customWidth="1"/>
    <col min="7" max="7" width="18" customWidth="1"/>
    <col min="8" max="8" width="12" customWidth="1"/>
    <col min="9" max="9" width="56" customWidth="1"/>
  </cols>
  <sheetData>
    <row r="1" spans="1:9" ht="28" x14ac:dyDescent="0.2">
      <c r="A1" s="6" t="s">
        <v>47</v>
      </c>
      <c r="B1" s="6" t="s">
        <v>368</v>
      </c>
      <c r="C1" s="6" t="s">
        <v>369</v>
      </c>
      <c r="D1" s="6" t="s">
        <v>370</v>
      </c>
      <c r="E1" s="6" t="s">
        <v>371</v>
      </c>
      <c r="F1" s="6" t="s">
        <v>372</v>
      </c>
      <c r="G1" s="6" t="s">
        <v>373</v>
      </c>
      <c r="H1" s="6" t="s">
        <v>374</v>
      </c>
      <c r="I1" s="6" t="s">
        <v>375</v>
      </c>
    </row>
    <row r="2" spans="1:9" ht="56" x14ac:dyDescent="0.2">
      <c r="A2" s="19" t="s">
        <v>376</v>
      </c>
      <c r="B2" s="7" t="s">
        <v>377</v>
      </c>
      <c r="C2" s="7" t="s">
        <v>378</v>
      </c>
      <c r="D2" s="7" t="s">
        <v>379</v>
      </c>
      <c r="E2" s="7" t="s">
        <v>380</v>
      </c>
      <c r="F2" s="7" t="s">
        <v>381</v>
      </c>
      <c r="G2" s="7" t="s">
        <v>382</v>
      </c>
      <c r="H2" s="8">
        <v>500</v>
      </c>
      <c r="I2" s="7" t="s">
        <v>383</v>
      </c>
    </row>
    <row r="3" spans="1:9" ht="42" x14ac:dyDescent="0.2">
      <c r="A3" s="19" t="s">
        <v>376</v>
      </c>
      <c r="B3" s="7" t="s">
        <v>377</v>
      </c>
      <c r="C3" s="7" t="s">
        <v>384</v>
      </c>
      <c r="D3" s="7" t="s">
        <v>385</v>
      </c>
      <c r="E3" s="7" t="s">
        <v>386</v>
      </c>
      <c r="F3" s="7" t="s">
        <v>387</v>
      </c>
      <c r="G3" s="7" t="s">
        <v>382</v>
      </c>
      <c r="H3" s="8">
        <v>500</v>
      </c>
      <c r="I3" s="7" t="s">
        <v>388</v>
      </c>
    </row>
    <row r="4" spans="1:9" ht="42" hidden="1" x14ac:dyDescent="0.2">
      <c r="A4" s="19" t="s">
        <v>376</v>
      </c>
      <c r="B4" s="7" t="s">
        <v>377</v>
      </c>
      <c r="C4" s="7" t="s">
        <v>389</v>
      </c>
      <c r="D4" s="7" t="s">
        <v>390</v>
      </c>
      <c r="E4" s="7" t="s">
        <v>391</v>
      </c>
      <c r="F4" s="7" t="s">
        <v>392</v>
      </c>
      <c r="G4" s="7" t="s">
        <v>393</v>
      </c>
      <c r="H4" s="8">
        <v>120</v>
      </c>
      <c r="I4" s="7" t="s">
        <v>394</v>
      </c>
    </row>
    <row r="5" spans="1:9" ht="56" x14ac:dyDescent="0.2">
      <c r="A5" s="19" t="s">
        <v>376</v>
      </c>
      <c r="B5" s="7" t="s">
        <v>395</v>
      </c>
      <c r="C5" s="7" t="s">
        <v>396</v>
      </c>
      <c r="D5" s="7" t="s">
        <v>397</v>
      </c>
      <c r="E5" s="7" t="s">
        <v>398</v>
      </c>
      <c r="F5" s="7" t="s">
        <v>399</v>
      </c>
      <c r="G5" s="7" t="s">
        <v>68</v>
      </c>
      <c r="H5" s="8">
        <v>500</v>
      </c>
      <c r="I5" s="7" t="s">
        <v>400</v>
      </c>
    </row>
    <row r="6" spans="1:9" ht="42" x14ac:dyDescent="0.2">
      <c r="A6" s="20" t="s">
        <v>401</v>
      </c>
      <c r="B6" s="7" t="s">
        <v>377</v>
      </c>
      <c r="C6" s="7" t="s">
        <v>402</v>
      </c>
      <c r="D6" s="7" t="s">
        <v>403</v>
      </c>
      <c r="E6" s="7" t="s">
        <v>404</v>
      </c>
      <c r="F6" s="7" t="s">
        <v>405</v>
      </c>
      <c r="G6" s="7" t="s">
        <v>382</v>
      </c>
      <c r="H6" s="8">
        <v>500</v>
      </c>
      <c r="I6" s="7" t="s">
        <v>406</v>
      </c>
    </row>
    <row r="7" spans="1:9" ht="70" x14ac:dyDescent="0.2">
      <c r="A7" s="20" t="s">
        <v>401</v>
      </c>
      <c r="B7" s="7" t="s">
        <v>407</v>
      </c>
      <c r="C7" s="7" t="s">
        <v>408</v>
      </c>
      <c r="D7" s="7" t="s">
        <v>409</v>
      </c>
      <c r="E7" s="7" t="s">
        <v>410</v>
      </c>
      <c r="F7" s="7" t="s">
        <v>411</v>
      </c>
      <c r="G7" s="7" t="s">
        <v>412</v>
      </c>
      <c r="H7" s="8">
        <v>500</v>
      </c>
      <c r="I7" s="7" t="s">
        <v>413</v>
      </c>
    </row>
    <row r="8" spans="1:9" ht="42" x14ac:dyDescent="0.2">
      <c r="A8" s="20" t="s">
        <v>401</v>
      </c>
      <c r="B8" s="7" t="s">
        <v>377</v>
      </c>
      <c r="C8" s="7" t="s">
        <v>414</v>
      </c>
      <c r="D8" s="7" t="s">
        <v>415</v>
      </c>
      <c r="E8" s="7" t="s">
        <v>416</v>
      </c>
      <c r="F8" s="7" t="s">
        <v>417</v>
      </c>
      <c r="G8" s="7" t="s">
        <v>68</v>
      </c>
      <c r="H8" s="8">
        <v>500</v>
      </c>
      <c r="I8" s="7" t="s">
        <v>418</v>
      </c>
    </row>
    <row r="9" spans="1:9" ht="56" x14ac:dyDescent="0.2">
      <c r="A9" s="20" t="s">
        <v>401</v>
      </c>
      <c r="B9" s="7" t="s">
        <v>395</v>
      </c>
      <c r="C9" s="7" t="s">
        <v>419</v>
      </c>
      <c r="D9" s="7" t="s">
        <v>420</v>
      </c>
      <c r="E9" s="7" t="s">
        <v>421</v>
      </c>
      <c r="F9" s="7" t="s">
        <v>422</v>
      </c>
      <c r="G9" s="7" t="s">
        <v>68</v>
      </c>
      <c r="H9" s="8">
        <v>500</v>
      </c>
      <c r="I9" s="7" t="s">
        <v>423</v>
      </c>
    </row>
    <row r="10" spans="1:9" ht="42" x14ac:dyDescent="0.2">
      <c r="A10" s="21" t="s">
        <v>424</v>
      </c>
      <c r="B10" s="7" t="s">
        <v>377</v>
      </c>
      <c r="C10" s="7" t="s">
        <v>425</v>
      </c>
      <c r="D10" s="7" t="s">
        <v>426</v>
      </c>
      <c r="E10" s="7" t="s">
        <v>427</v>
      </c>
      <c r="F10" s="7" t="s">
        <v>104</v>
      </c>
      <c r="G10" s="7" t="s">
        <v>173</v>
      </c>
      <c r="H10" s="8">
        <v>498</v>
      </c>
      <c r="I10" s="7" t="s">
        <v>428</v>
      </c>
    </row>
    <row r="11" spans="1:9" ht="42" x14ac:dyDescent="0.2">
      <c r="A11" s="21" t="s">
        <v>424</v>
      </c>
      <c r="B11" s="7" t="s">
        <v>429</v>
      </c>
      <c r="C11" s="7" t="s">
        <v>430</v>
      </c>
      <c r="D11" s="7" t="s">
        <v>431</v>
      </c>
      <c r="E11" s="7" t="s">
        <v>432</v>
      </c>
      <c r="F11" s="7" t="s">
        <v>104</v>
      </c>
      <c r="G11" s="7" t="s">
        <v>68</v>
      </c>
      <c r="H11" s="8">
        <v>498</v>
      </c>
      <c r="I11" s="7" t="s">
        <v>433</v>
      </c>
    </row>
    <row r="12" spans="1:9" ht="42" x14ac:dyDescent="0.2">
      <c r="A12" s="21" t="s">
        <v>424</v>
      </c>
      <c r="B12" s="7" t="s">
        <v>429</v>
      </c>
      <c r="C12" s="7" t="s">
        <v>434</v>
      </c>
      <c r="D12" s="7" t="s">
        <v>435</v>
      </c>
      <c r="E12" s="7" t="s">
        <v>436</v>
      </c>
      <c r="F12" s="7" t="s">
        <v>104</v>
      </c>
      <c r="G12" s="7" t="s">
        <v>68</v>
      </c>
      <c r="H12" s="8">
        <v>498</v>
      </c>
      <c r="I12" s="7" t="s">
        <v>437</v>
      </c>
    </row>
    <row r="13" spans="1:9" ht="42" x14ac:dyDescent="0.2">
      <c r="A13" s="21" t="s">
        <v>424</v>
      </c>
      <c r="B13" s="7" t="s">
        <v>438</v>
      </c>
      <c r="C13" s="7" t="s">
        <v>439</v>
      </c>
      <c r="D13" s="7" t="s">
        <v>440</v>
      </c>
      <c r="E13" s="7" t="s">
        <v>441</v>
      </c>
      <c r="F13" s="7" t="s">
        <v>399</v>
      </c>
      <c r="G13" s="7" t="s">
        <v>68</v>
      </c>
      <c r="H13" s="8">
        <v>500</v>
      </c>
      <c r="I13" s="7" t="s">
        <v>442</v>
      </c>
    </row>
    <row r="14" spans="1:9" ht="56" hidden="1" x14ac:dyDescent="0.2">
      <c r="A14" s="21" t="s">
        <v>424</v>
      </c>
      <c r="B14" s="7" t="s">
        <v>377</v>
      </c>
      <c r="C14" s="7" t="s">
        <v>443</v>
      </c>
      <c r="D14" s="7" t="s">
        <v>444</v>
      </c>
      <c r="E14" s="7" t="s">
        <v>445</v>
      </c>
      <c r="F14" s="7" t="s">
        <v>446</v>
      </c>
      <c r="G14" s="7" t="s">
        <v>447</v>
      </c>
      <c r="H14" s="8">
        <v>400</v>
      </c>
      <c r="I14" s="7" t="s">
        <v>448</v>
      </c>
    </row>
    <row r="15" spans="1:9" ht="70" hidden="1" x14ac:dyDescent="0.2">
      <c r="A15" s="22" t="s">
        <v>449</v>
      </c>
      <c r="B15" s="7" t="s">
        <v>450</v>
      </c>
      <c r="C15" s="7" t="s">
        <v>451</v>
      </c>
      <c r="D15" s="7" t="s">
        <v>452</v>
      </c>
      <c r="E15" s="7" t="s">
        <v>453</v>
      </c>
      <c r="F15" s="7" t="s">
        <v>454</v>
      </c>
      <c r="G15" s="7" t="s">
        <v>455</v>
      </c>
      <c r="H15" s="8">
        <v>500</v>
      </c>
      <c r="I15" s="7" t="s">
        <v>456</v>
      </c>
    </row>
    <row r="16" spans="1:9" ht="56" hidden="1" x14ac:dyDescent="0.2">
      <c r="A16" s="22" t="s">
        <v>449</v>
      </c>
      <c r="B16" s="7" t="s">
        <v>450</v>
      </c>
      <c r="C16" s="7" t="s">
        <v>457</v>
      </c>
      <c r="D16" s="7" t="s">
        <v>458</v>
      </c>
      <c r="E16" s="7" t="s">
        <v>459</v>
      </c>
      <c r="F16" s="7" t="s">
        <v>460</v>
      </c>
      <c r="G16" s="7" t="s">
        <v>68</v>
      </c>
      <c r="H16" s="8">
        <v>500</v>
      </c>
      <c r="I16" s="7" t="s">
        <v>461</v>
      </c>
    </row>
  </sheetData>
  <autoFilter ref="A1:I16" xr:uid="{00000000-0009-0000-0000-000002000000}">
    <filterColumn colId="0">
      <filters>
        <filter val="P1 Environmental &amp; Resource Efficiency"/>
        <filter val="P2 Transition &amp; Structural Risk"/>
        <filter val="P3 Governance &amp; Capital Stewardship"/>
      </filters>
    </filterColumn>
    <filterColumn colId="7">
      <filters>
        <filter val="498"/>
        <filter val="500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showGridLines="0" topLeftCell="A16" zoomScaleNormal="100" workbookViewId="0"/>
  </sheetViews>
  <sheetFormatPr baseColWidth="10" defaultColWidth="8.6640625" defaultRowHeight="15" x14ac:dyDescent="0.2"/>
  <cols>
    <col min="1" max="1" width="46" customWidth="1"/>
    <col min="2" max="2" width="13" customWidth="1"/>
    <col min="3" max="3" width="26" customWidth="1"/>
    <col min="4" max="4" width="12" customWidth="1"/>
  </cols>
  <sheetData>
    <row r="1" spans="1:4" ht="18" x14ac:dyDescent="0.2">
      <c r="A1" s="1" t="s">
        <v>462</v>
      </c>
    </row>
    <row r="2" spans="1:4" x14ac:dyDescent="0.2">
      <c r="A2" s="2" t="s">
        <v>463</v>
      </c>
    </row>
    <row r="4" spans="1:4" x14ac:dyDescent="0.2">
      <c r="A4" s="4" t="s">
        <v>464</v>
      </c>
    </row>
    <row r="5" spans="1:4" x14ac:dyDescent="0.2">
      <c r="A5" s="6" t="s">
        <v>52</v>
      </c>
      <c r="B5" s="6" t="s">
        <v>465</v>
      </c>
      <c r="C5" s="6" t="s">
        <v>466</v>
      </c>
      <c r="D5" s="6" t="s">
        <v>467</v>
      </c>
    </row>
    <row r="6" spans="1:4" x14ac:dyDescent="0.2">
      <c r="A6" s="23" t="s">
        <v>70</v>
      </c>
      <c r="B6" s="8">
        <f>COUNTIF('Data Sources'!$K$2:$K$30,$A6)</f>
        <v>8</v>
      </c>
      <c r="C6" s="8">
        <f>IFERROR(ROUND(SUMIF('Data Sources'!$K$2:$K$30,$A6,'Data Sources'!$I$2:$I$30)/COUNTIF('Data Sources'!$K$2:$K$30,$A6),0),0)</f>
        <v>499</v>
      </c>
      <c r="D6" s="10">
        <f>IFERROR(C6/500,"")</f>
        <v>0.998</v>
      </c>
    </row>
    <row r="7" spans="1:4" x14ac:dyDescent="0.2">
      <c r="A7" s="23" t="s">
        <v>166</v>
      </c>
      <c r="B7" s="8">
        <f>COUNTIF('Data Sources'!$K$2:$K$30,$A7)</f>
        <v>6</v>
      </c>
      <c r="C7" s="8">
        <f>IFERROR(ROUND(SUMIF('Data Sources'!$K$2:$K$30,$A7,'Data Sources'!$I$2:$I$30)/COUNTIF('Data Sources'!$K$2:$K$30,$A7),0),0)</f>
        <v>379</v>
      </c>
      <c r="D7" s="10">
        <f>IFERROR(C7/500,"")</f>
        <v>0.75800000000000001</v>
      </c>
    </row>
    <row r="8" spans="1:4" x14ac:dyDescent="0.2">
      <c r="A8" s="23" t="s">
        <v>239</v>
      </c>
      <c r="B8" s="8">
        <f>COUNTIF('Data Sources'!$K$2:$K$30,$A8)</f>
        <v>15</v>
      </c>
      <c r="C8" s="8">
        <f>IFERROR(ROUND(SUMIF('Data Sources'!$K$2:$K$30,$A8,'Data Sources'!$I$2:$I$30)/COUNTIF('Data Sources'!$K$2:$K$30,$A8),0),0)</f>
        <v>127</v>
      </c>
      <c r="D8" s="10">
        <f>IFERROR(C8/500,"")</f>
        <v>0.254</v>
      </c>
    </row>
    <row r="11" spans="1:4" x14ac:dyDescent="0.2">
      <c r="A11" s="4" t="s">
        <v>468</v>
      </c>
    </row>
    <row r="12" spans="1:4" x14ac:dyDescent="0.2">
      <c r="A12" s="6" t="s">
        <v>61</v>
      </c>
      <c r="B12" s="6" t="s">
        <v>465</v>
      </c>
      <c r="C12" s="6" t="s">
        <v>466</v>
      </c>
      <c r="D12" s="6" t="s">
        <v>467</v>
      </c>
    </row>
    <row r="13" spans="1:4" x14ac:dyDescent="0.2">
      <c r="A13" s="23" t="s">
        <v>79</v>
      </c>
      <c r="B13" s="8">
        <f>COUNTIF('Data Sources'!$T$2:$T$30,$A13)</f>
        <v>8</v>
      </c>
      <c r="C13" s="8">
        <f>IFERROR(ROUND(SUMIF('Data Sources'!$T$2:$T$30,$A13,'Data Sources'!$I$2:$I$30)/COUNTIF('Data Sources'!$T$2:$T$30,$A13),0),0)</f>
        <v>417</v>
      </c>
      <c r="D13" s="10">
        <f>IFERROR(C13/500,"")</f>
        <v>0.83399999999999996</v>
      </c>
    </row>
    <row r="14" spans="1:4" x14ac:dyDescent="0.2">
      <c r="A14" s="23" t="s">
        <v>103</v>
      </c>
      <c r="B14" s="8">
        <f>COUNTIF('Data Sources'!$T$2:$T$30,$A14)</f>
        <v>10</v>
      </c>
      <c r="C14" s="8">
        <f>IFERROR(ROUND(SUMIF('Data Sources'!$T$2:$T$30,$A14,'Data Sources'!$I$2:$I$30)/COUNTIF('Data Sources'!$T$2:$T$30,$A14),0),0)</f>
        <v>260</v>
      </c>
      <c r="D14" s="10">
        <f>IFERROR(C14/500,"")</f>
        <v>0.52</v>
      </c>
    </row>
    <row r="15" spans="1:4" x14ac:dyDescent="0.2">
      <c r="A15" s="23" t="s">
        <v>208</v>
      </c>
      <c r="B15" s="8">
        <f>COUNTIF('Data Sources'!$T$2:$T$30,$A15)</f>
        <v>10</v>
      </c>
      <c r="C15" s="8">
        <f>IFERROR(ROUND(SUMIF('Data Sources'!$T$2:$T$30,$A15,'Data Sources'!$I$2:$I$30)/COUNTIF('Data Sources'!$T$2:$T$30,$A15),0),0)</f>
        <v>178</v>
      </c>
      <c r="D15" s="10">
        <f>IFERROR(C15/500,"")</f>
        <v>0.35599999999999998</v>
      </c>
    </row>
    <row r="16" spans="1:4" x14ac:dyDescent="0.2">
      <c r="A16" s="23" t="s">
        <v>232</v>
      </c>
      <c r="B16" s="8">
        <f>COUNTIF('Data Sources'!$T$2:$T$30,$A16)</f>
        <v>1</v>
      </c>
      <c r="C16" s="8">
        <f>IFERROR(ROUND(SUMIF('Data Sources'!$T$2:$T$30,$A16,'Data Sources'!$I$2:$I$30)/COUNTIF('Data Sources'!$T$2:$T$30,$A16),0),0)</f>
        <v>450</v>
      </c>
      <c r="D16" s="10">
        <f>IFERROR(C16/500,"")</f>
        <v>0.9</v>
      </c>
    </row>
    <row r="19" spans="1:4" x14ac:dyDescent="0.2">
      <c r="A19" s="4" t="s">
        <v>469</v>
      </c>
    </row>
    <row r="20" spans="1:4" x14ac:dyDescent="0.2">
      <c r="A20" s="6" t="s">
        <v>470</v>
      </c>
      <c r="B20" s="6" t="s">
        <v>465</v>
      </c>
      <c r="C20" s="6" t="s">
        <v>466</v>
      </c>
      <c r="D20" s="6" t="s">
        <v>467</v>
      </c>
    </row>
    <row r="21" spans="1:4" x14ac:dyDescent="0.2">
      <c r="A21" s="23" t="s">
        <v>119</v>
      </c>
      <c r="B21" s="8">
        <f>COUNTIF('Data Sources'!$F$2:$F$30,$A21)</f>
        <v>10</v>
      </c>
      <c r="C21" s="8">
        <f>IFERROR(ROUND(SUMIF('Data Sources'!$F$2:$F$30,$A21,'Data Sources'!$I$2:$I$30)/COUNTIF('Data Sources'!$F$2:$F$30,$A21),0),0)</f>
        <v>161</v>
      </c>
      <c r="D21" s="10">
        <f t="shared" ref="D21:D26" si="0">IFERROR(C21/500,"")</f>
        <v>0.32200000000000001</v>
      </c>
    </row>
    <row r="22" spans="1:4" x14ac:dyDescent="0.2">
      <c r="A22" s="23" t="s">
        <v>97</v>
      </c>
      <c r="B22" s="8">
        <f>COUNTIF('Data Sources'!$F$2:$F$30,$A22)</f>
        <v>7</v>
      </c>
      <c r="C22" s="8">
        <f>IFERROR(ROUND(SUMIF('Data Sources'!$F$2:$F$30,$A22,'Data Sources'!$I$2:$I$30)/COUNTIF('Data Sources'!$F$2:$F$30,$A22),0),0)</f>
        <v>231</v>
      </c>
      <c r="D22" s="10">
        <f t="shared" si="0"/>
        <v>0.46200000000000002</v>
      </c>
    </row>
    <row r="23" spans="1:4" x14ac:dyDescent="0.2">
      <c r="A23" s="23" t="s">
        <v>85</v>
      </c>
      <c r="B23" s="8">
        <f>COUNTIF('Data Sources'!$F$2:$F$30,$A23)</f>
        <v>5</v>
      </c>
      <c r="C23" s="8">
        <f>IFERROR(ROUND(SUMIF('Data Sources'!$F$2:$F$30,$A23,'Data Sources'!$I$2:$I$30)/COUNTIF('Data Sources'!$F$2:$F$30,$A23),0),0)</f>
        <v>300</v>
      </c>
      <c r="D23" s="10">
        <f t="shared" si="0"/>
        <v>0.6</v>
      </c>
    </row>
    <row r="24" spans="1:4" x14ac:dyDescent="0.2">
      <c r="A24" s="23" t="s">
        <v>118</v>
      </c>
      <c r="B24" s="8">
        <f>COUNTIF('Data Sources'!$F$2:$F$30,$A24)</f>
        <v>4</v>
      </c>
      <c r="C24" s="8">
        <f>IFERROR(ROUND(SUMIF('Data Sources'!$F$2:$F$30,$A24,'Data Sources'!$I$2:$I$30)/COUNTIF('Data Sources'!$F$2:$F$30,$A24),0),0)</f>
        <v>485</v>
      </c>
      <c r="D24" s="10">
        <f t="shared" si="0"/>
        <v>0.97</v>
      </c>
    </row>
    <row r="25" spans="1:4" x14ac:dyDescent="0.2">
      <c r="A25" s="23" t="s">
        <v>84</v>
      </c>
      <c r="B25" s="8">
        <f>COUNTIF('Data Sources'!$F$2:$F$30,$A25)</f>
        <v>1</v>
      </c>
      <c r="C25" s="8">
        <f>IFERROR(ROUND(SUMIF('Data Sources'!$F$2:$F$30,$A25,'Data Sources'!$I$2:$I$30)/COUNTIF('Data Sources'!$F$2:$F$30,$A25),0),0)</f>
        <v>500</v>
      </c>
      <c r="D25" s="10">
        <f t="shared" si="0"/>
        <v>1</v>
      </c>
    </row>
    <row r="26" spans="1:4" x14ac:dyDescent="0.2">
      <c r="A26" s="23" t="s">
        <v>67</v>
      </c>
      <c r="B26" s="8">
        <f>COUNTIF('Data Sources'!$F$2:$F$30,$A26)</f>
        <v>2</v>
      </c>
      <c r="C26" s="8">
        <f>IFERROR(ROUND(SUMIF('Data Sources'!$F$2:$F$30,$A26,'Data Sources'!$I$2:$I$30)/COUNTIF('Data Sources'!$F$2:$F$30,$A26),0),0)</f>
        <v>500</v>
      </c>
      <c r="D26" s="10">
        <f t="shared" si="0"/>
        <v>1</v>
      </c>
    </row>
    <row r="29" spans="1:4" x14ac:dyDescent="0.2">
      <c r="A29" s="4" t="s">
        <v>471</v>
      </c>
    </row>
    <row r="30" spans="1:4" x14ac:dyDescent="0.2">
      <c r="A30" s="6" t="s">
        <v>60</v>
      </c>
      <c r="B30" s="6" t="s">
        <v>465</v>
      </c>
      <c r="C30" s="6" t="s">
        <v>466</v>
      </c>
      <c r="D30" s="6" t="s">
        <v>467</v>
      </c>
    </row>
    <row r="31" spans="1:4" x14ac:dyDescent="0.2">
      <c r="A31" s="23" t="s">
        <v>78</v>
      </c>
      <c r="B31" s="8">
        <f>COUNTIF('Data Sources'!$S$2:$S$30,$A31)</f>
        <v>13</v>
      </c>
      <c r="C31" s="8">
        <f>IFERROR(ROUND(SUMIF('Data Sources'!$S$2:$S$30,$A31,'Data Sources'!$I$2:$I$30)/COUNTIF('Data Sources'!$S$2:$S$30,$A31),0),0)</f>
        <v>342</v>
      </c>
      <c r="D31" s="10">
        <f>IFERROR(C31/500,"")</f>
        <v>0.68400000000000005</v>
      </c>
    </row>
    <row r="32" spans="1:4" x14ac:dyDescent="0.2">
      <c r="A32" s="23" t="s">
        <v>92</v>
      </c>
      <c r="B32" s="8">
        <f>COUNTIF('Data Sources'!$S$2:$S$30,$A32)</f>
        <v>13</v>
      </c>
      <c r="C32" s="8">
        <f>IFERROR(ROUND(SUMIF('Data Sources'!$S$2:$S$30,$A32,'Data Sources'!$I$2:$I$30)/COUNTIF('Data Sources'!$S$2:$S$30,$A32),0),0)</f>
        <v>236</v>
      </c>
      <c r="D32" s="10">
        <f>IFERROR(C32/500,"")</f>
        <v>0.47199999999999998</v>
      </c>
    </row>
    <row r="33" spans="1:4" x14ac:dyDescent="0.2">
      <c r="A33" s="23" t="s">
        <v>184</v>
      </c>
      <c r="B33" s="8">
        <f>COUNTIF('Data Sources'!$S$2:$S$30,$A33)</f>
        <v>3</v>
      </c>
      <c r="C33" s="8">
        <f>IFERROR(ROUND(SUMIF('Data Sources'!$S$2:$S$30,$A33,'Data Sources'!$I$2:$I$30)/COUNTIF('Data Sources'!$S$2:$S$30,$A33),0),0)</f>
        <v>217</v>
      </c>
      <c r="D33" s="10">
        <f>IFERROR(C33/500,"")</f>
        <v>0.434</v>
      </c>
    </row>
    <row r="36" spans="1:4" x14ac:dyDescent="0.2">
      <c r="A36" s="4" t="s">
        <v>472</v>
      </c>
    </row>
    <row r="37" spans="1:4" x14ac:dyDescent="0.2">
      <c r="A37" s="24" t="s">
        <v>473</v>
      </c>
      <c r="B37" s="9">
        <f>COUNTA('Data Sources'!$A$2:$A$30)</f>
        <v>29</v>
      </c>
    </row>
    <row r="38" spans="1:4" x14ac:dyDescent="0.2">
      <c r="A38" s="24" t="s">
        <v>474</v>
      </c>
      <c r="B38" s="9">
        <f>COUNTIF('Data Sources'!$P$2:$P$30,"None*")</f>
        <v>22</v>
      </c>
    </row>
    <row r="39" spans="1:4" x14ac:dyDescent="0.2">
      <c r="A39" s="24" t="s">
        <v>475</v>
      </c>
      <c r="B39" s="9">
        <f>COUNTIF('Data Sources'!$I$2:$I$30,"&gt;=450")</f>
        <v>9</v>
      </c>
    </row>
    <row r="40" spans="1:4" x14ac:dyDescent="0.2">
      <c r="A40" s="24" t="s">
        <v>476</v>
      </c>
      <c r="B40" s="9">
        <f>COUNTIF('Data Sources'!$I$2:$I$30,"&lt;150")</f>
        <v>8</v>
      </c>
    </row>
    <row r="41" spans="1:4" x14ac:dyDescent="0.2">
      <c r="A41" s="24" t="s">
        <v>477</v>
      </c>
      <c r="B41" s="9">
        <f>COUNTIF('Data Sources'!$T$2:$T$30,"MUST")</f>
        <v>8</v>
      </c>
    </row>
    <row r="42" spans="1:4" x14ac:dyDescent="0.2">
      <c r="A42" s="24" t="s">
        <v>478</v>
      </c>
      <c r="B42" s="9">
        <f>COUNTIF('Data Sources'!$L$2:$L$30,"Estimated")</f>
        <v>23</v>
      </c>
    </row>
    <row r="44" spans="1:4" x14ac:dyDescent="0.2">
      <c r="A44" s="2" t="s">
        <v>479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2" width="62" customWidth="1"/>
    <col min="3" max="3" width="70" customWidth="1"/>
  </cols>
  <sheetData>
    <row r="1" spans="1:3" ht="18" x14ac:dyDescent="0.2">
      <c r="A1" s="1" t="s">
        <v>480</v>
      </c>
    </row>
    <row r="2" spans="1:3" x14ac:dyDescent="0.2">
      <c r="A2" s="2" t="s">
        <v>481</v>
      </c>
    </row>
    <row r="4" spans="1:3" x14ac:dyDescent="0.2">
      <c r="A4" s="6" t="s">
        <v>482</v>
      </c>
      <c r="B4" s="6" t="s">
        <v>483</v>
      </c>
      <c r="C4" s="6" t="s">
        <v>484</v>
      </c>
    </row>
    <row r="5" spans="1:3" ht="43.5" customHeight="1" x14ac:dyDescent="0.2">
      <c r="A5" s="25" t="s">
        <v>485</v>
      </c>
      <c r="B5" s="7" t="s">
        <v>486</v>
      </c>
      <c r="C5" s="7" t="s">
        <v>487</v>
      </c>
    </row>
    <row r="6" spans="1:3" ht="43.5" customHeight="1" x14ac:dyDescent="0.2">
      <c r="A6" s="25" t="s">
        <v>488</v>
      </c>
      <c r="B6" s="7" t="s">
        <v>489</v>
      </c>
      <c r="C6" s="7" t="s">
        <v>490</v>
      </c>
    </row>
    <row r="7" spans="1:3" ht="43.5" customHeight="1" x14ac:dyDescent="0.2">
      <c r="A7" s="25" t="s">
        <v>491</v>
      </c>
      <c r="B7" s="7" t="s">
        <v>492</v>
      </c>
      <c r="C7" s="7" t="s">
        <v>493</v>
      </c>
    </row>
    <row r="8" spans="1:3" ht="43.5" customHeight="1" x14ac:dyDescent="0.2">
      <c r="A8" s="25" t="s">
        <v>494</v>
      </c>
      <c r="B8" s="7" t="s">
        <v>495</v>
      </c>
      <c r="C8" s="7" t="s">
        <v>496</v>
      </c>
    </row>
    <row r="9" spans="1:3" ht="43.5" customHeight="1" x14ac:dyDescent="0.2">
      <c r="A9" s="25" t="s">
        <v>497</v>
      </c>
      <c r="B9" s="7" t="s">
        <v>498</v>
      </c>
      <c r="C9" s="7" t="s">
        <v>499</v>
      </c>
    </row>
    <row r="10" spans="1:3" ht="43.5" customHeight="1" x14ac:dyDescent="0.2">
      <c r="A10" s="25" t="s">
        <v>500</v>
      </c>
      <c r="B10" s="7" t="s">
        <v>501</v>
      </c>
      <c r="C10" s="7" t="s">
        <v>502</v>
      </c>
    </row>
    <row r="11" spans="1:3" ht="43.5" customHeight="1" x14ac:dyDescent="0.2">
      <c r="A11" s="25" t="s">
        <v>503</v>
      </c>
      <c r="B11" s="7" t="s">
        <v>504</v>
      </c>
      <c r="C11" s="7" t="s">
        <v>505</v>
      </c>
    </row>
    <row r="12" spans="1:3" ht="43.5" customHeight="1" x14ac:dyDescent="0.2">
      <c r="A12" s="25" t="s">
        <v>506</v>
      </c>
      <c r="B12" s="7" t="s">
        <v>507</v>
      </c>
      <c r="C12" s="7" t="s">
        <v>508</v>
      </c>
    </row>
    <row r="13" spans="1:3" ht="43.5" customHeight="1" x14ac:dyDescent="0.2">
      <c r="A13" s="25" t="s">
        <v>509</v>
      </c>
      <c r="B13" s="7" t="s">
        <v>510</v>
      </c>
      <c r="C13" s="7" t="s">
        <v>511</v>
      </c>
    </row>
    <row r="14" spans="1:3" ht="43.5" customHeight="1" x14ac:dyDescent="0.2">
      <c r="A14" s="25" t="s">
        <v>512</v>
      </c>
      <c r="B14" s="7" t="s">
        <v>513</v>
      </c>
      <c r="C14" s="7" t="s">
        <v>514</v>
      </c>
    </row>
    <row r="15" spans="1:3" ht="43.5" customHeight="1" x14ac:dyDescent="0.2">
      <c r="A15" s="25" t="s">
        <v>460</v>
      </c>
      <c r="B15" s="7" t="s">
        <v>515</v>
      </c>
      <c r="C15" s="7" t="s">
        <v>516</v>
      </c>
    </row>
    <row r="16" spans="1:3" ht="43.5" customHeight="1" x14ac:dyDescent="0.2">
      <c r="A16" s="25" t="s">
        <v>517</v>
      </c>
      <c r="B16" s="7" t="s">
        <v>518</v>
      </c>
      <c r="C16" s="7" t="s">
        <v>519</v>
      </c>
    </row>
    <row r="17" spans="1:3" ht="43.5" customHeight="1" x14ac:dyDescent="0.2">
      <c r="A17" s="25" t="s">
        <v>520</v>
      </c>
      <c r="B17" s="7" t="s">
        <v>521</v>
      </c>
      <c r="C17" s="7" t="s">
        <v>522</v>
      </c>
    </row>
    <row r="18" spans="1:3" ht="43.5" customHeight="1" x14ac:dyDescent="0.2">
      <c r="A18" s="25" t="s">
        <v>523</v>
      </c>
      <c r="B18" s="7" t="s">
        <v>524</v>
      </c>
      <c r="C18" s="7" t="s">
        <v>525</v>
      </c>
    </row>
    <row r="19" spans="1:3" ht="43.5" customHeight="1" x14ac:dyDescent="0.2">
      <c r="A19" s="25" t="s">
        <v>526</v>
      </c>
      <c r="B19" s="7" t="s">
        <v>527</v>
      </c>
      <c r="C19" s="7" t="s">
        <v>528</v>
      </c>
    </row>
    <row r="20" spans="1:3" ht="43.5" customHeight="1" x14ac:dyDescent="0.2">
      <c r="A20" s="25" t="s">
        <v>529</v>
      </c>
      <c r="B20" s="7" t="s">
        <v>530</v>
      </c>
      <c r="C20" s="7" t="s">
        <v>531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 Sources</vt:lpstr>
      <vt:lpstr>Pillar Mapping</vt:lpstr>
      <vt:lpstr>Coverage Summary</vt:lpstr>
      <vt:lpstr>Access Cheatsheet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Popov, Alina (BIDMC - Orthopedic Surgery)</cp:lastModifiedBy>
  <cp:revision>0</cp:revision>
  <dcterms:created xsi:type="dcterms:W3CDTF">2026-09-12T12:18:25Z</dcterms:created>
  <dcterms:modified xsi:type="dcterms:W3CDTF">2026-09-12T13:10:47Z</dcterms:modified>
  <dc:language>en-US</dc:language>
</cp:coreProperties>
</file>